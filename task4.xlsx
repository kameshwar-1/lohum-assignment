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A:\"/>
    </mc:Choice>
  </mc:AlternateContent>
  <xr:revisionPtr revIDLastSave="0" documentId="8_{6CED36EF-8811-4F46-AF2E-3473EC046928}" xr6:coauthVersionLast="47" xr6:coauthVersionMax="47" xr10:uidLastSave="{00000000-0000-0000-0000-000000000000}"/>
  <bookViews>
    <workbookView xWindow="-108" yWindow="-108" windowWidth="23256" windowHeight="12456" xr2:uid="{21FAB0AE-C9F2-4CE9-AC88-F09892886FFA}"/>
  </bookViews>
  <sheets>
    <sheet name="Sheet1" sheetId="1" r:id="rId1"/>
  </sheets>
  <definedNames>
    <definedName name="_xlnm._FilterDatabase" localSheetId="0" hidden="1">Sheet1!$A$1:$U$31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5" i="1" l="1"/>
  <c r="K34" i="1"/>
  <c r="K2" i="1"/>
  <c r="T15" i="1"/>
  <c r="T8" i="1"/>
  <c r="T12" i="1"/>
  <c r="T20" i="1"/>
  <c r="T14" i="1"/>
  <c r="T24" i="1"/>
  <c r="T4" i="1"/>
  <c r="T6" i="1"/>
  <c r="T27" i="1"/>
  <c r="T28" i="1"/>
  <c r="T3" i="1"/>
  <c r="T21" i="1"/>
  <c r="T23" i="1"/>
  <c r="T22" i="1"/>
  <c r="T18" i="1"/>
  <c r="T9" i="1"/>
  <c r="T30" i="1"/>
  <c r="T31" i="1"/>
  <c r="T26" i="1"/>
  <c r="T7" i="1"/>
  <c r="T13" i="1"/>
  <c r="T16" i="1"/>
  <c r="T11" i="1"/>
  <c r="T19" i="1"/>
  <c r="T29" i="1"/>
  <c r="T25" i="1"/>
  <c r="T10" i="1"/>
  <c r="T17" i="1"/>
  <c r="T5" i="1"/>
  <c r="T2" i="1"/>
  <c r="O15" i="1"/>
  <c r="O8" i="1"/>
  <c r="O12" i="1"/>
  <c r="O20" i="1"/>
  <c r="O14" i="1"/>
  <c r="O24" i="1"/>
  <c r="O4" i="1"/>
  <c r="O6" i="1"/>
  <c r="O27" i="1"/>
  <c r="O28" i="1"/>
  <c r="O3" i="1"/>
  <c r="O21" i="1"/>
  <c r="O23" i="1"/>
  <c r="O22" i="1"/>
  <c r="O18" i="1"/>
  <c r="O9" i="1"/>
  <c r="O30" i="1"/>
  <c r="O31" i="1"/>
  <c r="O26" i="1"/>
  <c r="O7" i="1"/>
  <c r="O13" i="1"/>
  <c r="O16" i="1"/>
  <c r="O11" i="1"/>
  <c r="O19" i="1"/>
  <c r="O29" i="1"/>
  <c r="O25" i="1"/>
  <c r="O10" i="1"/>
  <c r="O17" i="1"/>
  <c r="O5" i="1"/>
  <c r="O2" i="1"/>
  <c r="J15" i="1"/>
  <c r="J8" i="1"/>
  <c r="J12" i="1"/>
  <c r="J20" i="1"/>
  <c r="J14" i="1"/>
  <c r="J24" i="1"/>
  <c r="J4" i="1"/>
  <c r="J6" i="1"/>
  <c r="J27" i="1"/>
  <c r="J28" i="1"/>
  <c r="J3" i="1"/>
  <c r="J21" i="1"/>
  <c r="J23" i="1"/>
  <c r="J22" i="1"/>
  <c r="J18" i="1"/>
  <c r="J9" i="1"/>
  <c r="J30" i="1"/>
  <c r="J31" i="1"/>
  <c r="J26" i="1"/>
  <c r="J7" i="1"/>
  <c r="J13" i="1"/>
  <c r="J16" i="1"/>
  <c r="J11" i="1"/>
  <c r="J19" i="1"/>
  <c r="J29" i="1"/>
  <c r="J25" i="1"/>
  <c r="J10" i="1"/>
  <c r="J17" i="1"/>
  <c r="J5" i="1"/>
  <c r="J2" i="1"/>
  <c r="D15" i="1"/>
  <c r="K15" i="1" s="1"/>
  <c r="D8" i="1"/>
  <c r="K8" i="1" s="1"/>
  <c r="D12" i="1"/>
  <c r="K12" i="1" s="1"/>
  <c r="D20" i="1"/>
  <c r="K20" i="1" s="1"/>
  <c r="D14" i="1"/>
  <c r="K14" i="1" s="1"/>
  <c r="D24" i="1"/>
  <c r="K24" i="1" s="1"/>
  <c r="D4" i="1"/>
  <c r="K4" i="1" s="1"/>
  <c r="D6" i="1"/>
  <c r="K6" i="1" s="1"/>
  <c r="D27" i="1"/>
  <c r="P27" i="1" s="1"/>
  <c r="D28" i="1"/>
  <c r="P28" i="1" s="1"/>
  <c r="D3" i="1"/>
  <c r="K3" i="1" s="1"/>
  <c r="D21" i="1"/>
  <c r="K21" i="1" s="1"/>
  <c r="D23" i="1"/>
  <c r="U23" i="1" s="1"/>
  <c r="D22" i="1"/>
  <c r="K22" i="1" s="1"/>
  <c r="D18" i="1"/>
  <c r="K18" i="1" s="1"/>
  <c r="D9" i="1"/>
  <c r="K9" i="1" s="1"/>
  <c r="D30" i="1"/>
  <c r="K30" i="1" s="1"/>
  <c r="D31" i="1"/>
  <c r="K31" i="1" s="1"/>
  <c r="D26" i="1"/>
  <c r="K26" i="1" s="1"/>
  <c r="D7" i="1"/>
  <c r="K7" i="1" s="1"/>
  <c r="D13" i="1"/>
  <c r="K13" i="1" s="1"/>
  <c r="D16" i="1"/>
  <c r="K16" i="1" s="1"/>
  <c r="D11" i="1"/>
  <c r="K11" i="1" s="1"/>
  <c r="D19" i="1"/>
  <c r="K19" i="1" s="1"/>
  <c r="D29" i="1"/>
  <c r="K29" i="1" s="1"/>
  <c r="D25" i="1"/>
  <c r="U25" i="1" s="1"/>
  <c r="D10" i="1"/>
  <c r="K10" i="1" s="1"/>
  <c r="D17" i="1"/>
  <c r="P17" i="1" s="1"/>
  <c r="D5" i="1"/>
  <c r="K5" i="1" s="1"/>
  <c r="D2" i="1"/>
  <c r="U2" i="1" s="1"/>
  <c r="K27" i="1" l="1"/>
  <c r="K28" i="1"/>
  <c r="P2" i="1"/>
  <c r="P22" i="1"/>
  <c r="P30" i="1"/>
  <c r="P18" i="1"/>
  <c r="P8" i="1"/>
  <c r="U9" i="1"/>
  <c r="P31" i="1"/>
  <c r="P9" i="1"/>
  <c r="P15" i="1"/>
  <c r="U18" i="1"/>
  <c r="U22" i="1"/>
  <c r="K23" i="1"/>
  <c r="U21" i="1"/>
  <c r="U3" i="1"/>
  <c r="P21" i="1"/>
  <c r="P10" i="1"/>
  <c r="P3" i="1"/>
  <c r="U27" i="1"/>
  <c r="P25" i="1"/>
  <c r="U19" i="1"/>
  <c r="K17" i="1"/>
  <c r="P29" i="1"/>
  <c r="U4" i="1"/>
  <c r="P19" i="1"/>
  <c r="P6" i="1"/>
  <c r="U24" i="1"/>
  <c r="K25" i="1"/>
  <c r="U13" i="1"/>
  <c r="U7" i="1"/>
  <c r="P13" i="1"/>
  <c r="P14" i="1"/>
  <c r="U26" i="1"/>
  <c r="U12" i="1"/>
  <c r="U5" i="1"/>
  <c r="U17" i="1"/>
  <c r="P23" i="1"/>
  <c r="U28" i="1"/>
  <c r="U8" i="1"/>
  <c r="P5" i="1"/>
  <c r="U10" i="1"/>
  <c r="U29" i="1"/>
  <c r="U6" i="1"/>
  <c r="U11" i="1"/>
  <c r="U16" i="1"/>
  <c r="P11" i="1"/>
  <c r="P4" i="1"/>
  <c r="U14" i="1"/>
  <c r="P16" i="1"/>
  <c r="P24" i="1"/>
  <c r="U20" i="1"/>
  <c r="P7" i="1"/>
  <c r="P20" i="1"/>
  <c r="U31" i="1"/>
  <c r="P26" i="1"/>
  <c r="P12" i="1"/>
  <c r="U30" i="1"/>
  <c r="U15" i="1"/>
</calcChain>
</file>

<file path=xl/sharedStrings.xml><?xml version="1.0" encoding="utf-8"?>
<sst xmlns="http://schemas.openxmlformats.org/spreadsheetml/2006/main" count="63" uniqueCount="56">
  <si>
    <t>Lithium</t>
  </si>
  <si>
    <t>Nickel</t>
  </si>
  <si>
    <t>Cobalt</t>
  </si>
  <si>
    <t>Graphite</t>
  </si>
  <si>
    <t>Manganese</t>
  </si>
  <si>
    <t>Copper</t>
  </si>
  <si>
    <t>RareEarth</t>
  </si>
  <si>
    <t>Zinc</t>
  </si>
  <si>
    <t>Tin</t>
  </si>
  <si>
    <t>Aluminum</t>
  </si>
  <si>
    <t>Iron</t>
  </si>
  <si>
    <t>Lead</t>
  </si>
  <si>
    <t>Silver</t>
  </si>
  <si>
    <t>Gold</t>
  </si>
  <si>
    <t>Platinum</t>
  </si>
  <si>
    <t>Phosphorus</t>
  </si>
  <si>
    <t>Potash</t>
  </si>
  <si>
    <t>Silicon</t>
  </si>
  <si>
    <t>Germanium</t>
  </si>
  <si>
    <t>Gallium</t>
  </si>
  <si>
    <t>Antimony</t>
  </si>
  <si>
    <t>Molybdenum</t>
  </si>
  <si>
    <t>Vanadium</t>
  </si>
  <si>
    <t>Tungsten</t>
  </si>
  <si>
    <t>Selenium</t>
  </si>
  <si>
    <t>Indium</t>
  </si>
  <si>
    <t>Tellurium</t>
  </si>
  <si>
    <t>Bismuth</t>
  </si>
  <si>
    <t>Cadmium</t>
  </si>
  <si>
    <t>Chromium</t>
  </si>
  <si>
    <t>mineral</t>
  </si>
  <si>
    <t>depth</t>
  </si>
  <si>
    <t>%</t>
  </si>
  <si>
    <t>frac</t>
  </si>
  <si>
    <t>extraction cost C_ext</t>
  </si>
  <si>
    <t>Refining Cost (USD/Ton)</t>
  </si>
  <si>
    <t>Number of minerals</t>
  </si>
  <si>
    <t xml:space="preserve">Additional Cost </t>
  </si>
  <si>
    <t>('000 USD/ton of ore)</t>
  </si>
  <si>
    <t>Supply ('000 Tonnes)2030</t>
  </si>
  <si>
    <t>Demand ('000 Tonnes)2030</t>
  </si>
  <si>
    <t>Price_USD_per_ton2030</t>
  </si>
  <si>
    <t>Price_USD_per_ton2035</t>
  </si>
  <si>
    <t>Demand ('000 Tonnes)2035</t>
  </si>
  <si>
    <t>Supply ('000 Tonnes)2035</t>
  </si>
  <si>
    <t>Supply ('000 Tonnes)2040</t>
  </si>
  <si>
    <t>Demand ('000 Tonnes)2040</t>
  </si>
  <si>
    <t>Price_USD_per_ton2040</t>
  </si>
  <si>
    <t>Gp2030</t>
  </si>
  <si>
    <t>Gap2035</t>
  </si>
  <si>
    <t>Gap2040</t>
  </si>
  <si>
    <t>profit2030</t>
  </si>
  <si>
    <t>profit2035</t>
  </si>
  <si>
    <t>profit2040</t>
  </si>
  <si>
    <t>profit per ton</t>
  </si>
  <si>
    <t xml:space="preserve">as I see the top 7 mineral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</si>
</sst>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3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FB9E5-75E9-4ACE-9A91-96DB5004F2A8}">
  <dimension ref="A1:Y41"/>
  <sheetViews>
    <sheetView tabSelected="1" topLeftCell="A5" zoomScale="69" zoomScaleNormal="130" workbookViewId="0">
      <selection activeCell="A34" sqref="A34:A40"/>
    </sheetView>
  </sheetViews>
  <sheetFormatPr defaultRowHeight="14.4" x14ac:dyDescent="0.3"/>
  <cols>
    <col min="1" max="1" width="25" customWidth="1"/>
    <col min="2" max="2" width="26.109375" customWidth="1"/>
    <col min="4" max="4" width="8.88671875" customWidth="1"/>
    <col min="5" max="5" width="21.21875" customWidth="1"/>
    <col min="6" max="6" width="20.88671875" customWidth="1"/>
    <col min="7" max="7" width="27.77734375" customWidth="1"/>
    <col min="8" max="8" width="30.88671875" customWidth="1"/>
    <col min="9" max="12" width="26.109375" customWidth="1"/>
    <col min="13" max="13" width="35.6640625" customWidth="1"/>
    <col min="14" max="17" width="48.6640625" customWidth="1"/>
    <col min="18" max="19" width="40.21875" customWidth="1"/>
    <col min="20" max="20" width="29" customWidth="1"/>
    <col min="21" max="21" width="16.33203125" customWidth="1"/>
  </cols>
  <sheetData>
    <row r="1" spans="1:25" x14ac:dyDescent="0.3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s="1" t="s">
        <v>39</v>
      </c>
      <c r="H1" s="1" t="s">
        <v>40</v>
      </c>
      <c r="I1" s="1" t="s">
        <v>41</v>
      </c>
      <c r="J1" s="1" t="s">
        <v>48</v>
      </c>
      <c r="K1" s="1" t="s">
        <v>51</v>
      </c>
      <c r="L1" s="1" t="s">
        <v>44</v>
      </c>
      <c r="M1" s="1" t="s">
        <v>43</v>
      </c>
      <c r="N1" s="1" t="s">
        <v>42</v>
      </c>
      <c r="O1" s="1" t="s">
        <v>49</v>
      </c>
      <c r="P1" s="1" t="s">
        <v>52</v>
      </c>
      <c r="Q1" s="1" t="s">
        <v>45</v>
      </c>
      <c r="R1" s="1" t="s">
        <v>46</v>
      </c>
      <c r="S1" s="1" t="s">
        <v>47</v>
      </c>
      <c r="T1" s="6" t="s">
        <v>50</v>
      </c>
      <c r="U1" s="6" t="s">
        <v>53</v>
      </c>
      <c r="X1" t="s">
        <v>36</v>
      </c>
      <c r="Y1" t="s">
        <v>37</v>
      </c>
    </row>
    <row r="2" spans="1:25" x14ac:dyDescent="0.3">
      <c r="A2" s="1" t="s">
        <v>0</v>
      </c>
      <c r="B2">
        <v>8</v>
      </c>
      <c r="C2" s="2">
        <v>6.69</v>
      </c>
      <c r="D2">
        <f>C2/100</f>
        <v>6.6900000000000001E-2</v>
      </c>
      <c r="E2" s="5">
        <v>2319.0352126366288</v>
      </c>
      <c r="F2" s="3">
        <v>5114</v>
      </c>
      <c r="G2" s="2">
        <v>10.993877411408899</v>
      </c>
      <c r="H2" s="2">
        <v>15.7</v>
      </c>
      <c r="I2" s="2">
        <v>82169.111118868605</v>
      </c>
      <c r="J2" s="2">
        <f>H2-G2</f>
        <v>4.7061225885911</v>
      </c>
      <c r="K2" s="2">
        <f>D2*I2-D2*F2</f>
        <v>5154.9869338523104</v>
      </c>
      <c r="L2" s="2">
        <v>20.58</v>
      </c>
      <c r="M2" s="2">
        <v>30.46</v>
      </c>
      <c r="N2" s="2">
        <v>125008.78</v>
      </c>
      <c r="O2" s="2">
        <f>M2-L2</f>
        <v>9.8800000000000026</v>
      </c>
      <c r="P2" s="2">
        <f>N2*D2-D2*F2</f>
        <v>8020.9607820000001</v>
      </c>
      <c r="Q2" s="2">
        <v>30.17</v>
      </c>
      <c r="R2" s="2">
        <v>40.159999999999997</v>
      </c>
      <c r="S2" s="2">
        <v>156412.75940561501</v>
      </c>
      <c r="T2" s="2">
        <f>R2-Q2</f>
        <v>9.9899999999999949</v>
      </c>
      <c r="U2">
        <f>S2*D2-D2*F2</f>
        <v>10121.887004235645</v>
      </c>
      <c r="Y2" t="s">
        <v>38</v>
      </c>
    </row>
    <row r="3" spans="1:25" x14ac:dyDescent="0.3">
      <c r="A3" s="1" t="s">
        <v>11</v>
      </c>
      <c r="B3">
        <v>8</v>
      </c>
      <c r="C3" s="2">
        <v>3.9200608077042332</v>
      </c>
      <c r="D3">
        <f>C3/100</f>
        <v>3.9200608077042329E-2</v>
      </c>
      <c r="E3" s="5">
        <v>2319.0352126366288</v>
      </c>
      <c r="F3" s="3">
        <v>1000</v>
      </c>
      <c r="G3" s="2">
        <v>1.8060323190888961</v>
      </c>
      <c r="H3" s="2">
        <v>1.6861322785678481</v>
      </c>
      <c r="I3" s="2">
        <v>31763.37401294849</v>
      </c>
      <c r="J3" s="2">
        <f>H3-G3</f>
        <v>-0.11990004052104797</v>
      </c>
      <c r="K3" s="2">
        <f>D3*I3-D3*F3</f>
        <v>1205.9429678090628</v>
      </c>
      <c r="L3" s="2">
        <v>1.910547635914587</v>
      </c>
      <c r="M3" s="2">
        <v>1.7322975683476931</v>
      </c>
      <c r="N3" s="2">
        <v>33666.348581650571</v>
      </c>
      <c r="O3" s="2">
        <f>M3-L3</f>
        <v>-0.17825006756689388</v>
      </c>
      <c r="P3" s="2">
        <f>N3*D3-D3*F3</f>
        <v>1280.5407280573318</v>
      </c>
      <c r="Q3" s="2">
        <v>2.021111267233723</v>
      </c>
      <c r="R3" s="2">
        <v>1.951416694347647</v>
      </c>
      <c r="S3" s="2">
        <v>35683.332203913851</v>
      </c>
      <c r="T3" s="2">
        <f>R3-Q3</f>
        <v>-6.9694572886076056E-2</v>
      </c>
      <c r="U3">
        <f>S3*D3-D3*F3</f>
        <v>1359.6077125314878</v>
      </c>
      <c r="X3">
        <v>1</v>
      </c>
      <c r="Y3">
        <v>0</v>
      </c>
    </row>
    <row r="4" spans="1:25" x14ac:dyDescent="0.3">
      <c r="A4" s="1" t="s">
        <v>7</v>
      </c>
      <c r="B4">
        <v>8</v>
      </c>
      <c r="C4" s="2">
        <v>4.5017542341088141</v>
      </c>
      <c r="D4">
        <f>C4/100</f>
        <v>4.5017542341088145E-2</v>
      </c>
      <c r="E4" s="5">
        <v>2319.0352126366288</v>
      </c>
      <c r="F4" s="3">
        <v>2500</v>
      </c>
      <c r="G4" s="2">
        <v>1.8236778915522851</v>
      </c>
      <c r="H4" s="2">
        <v>1.6581548873767149</v>
      </c>
      <c r="I4" s="2">
        <v>25130.254026212559</v>
      </c>
      <c r="J4" s="2">
        <f>H4-G4</f>
        <v>-0.1655230041755702</v>
      </c>
      <c r="K4" s="2">
        <f>D4*I4-D4*F4</f>
        <v>1018.7584188146043</v>
      </c>
      <c r="L4" s="2">
        <v>2.0109196536782208</v>
      </c>
      <c r="M4" s="2">
        <v>1.959820761442906</v>
      </c>
      <c r="N4" s="2">
        <v>26540.478989320429</v>
      </c>
      <c r="O4" s="2">
        <f>M4-L4</f>
        <v>-5.109889223531483E-2</v>
      </c>
      <c r="P4" s="2">
        <f>N4*D4-D4*F4</f>
        <v>1082.2432808017725</v>
      </c>
      <c r="Q4" s="2">
        <v>2.2173860155245522</v>
      </c>
      <c r="R4" s="2">
        <v>2.2899916064472161</v>
      </c>
      <c r="S4" s="2">
        <v>28029.841013458339</v>
      </c>
      <c r="T4" s="2">
        <f>R4-Q4</f>
        <v>7.2605590922663943E-2</v>
      </c>
      <c r="U4">
        <f>S4*D4-D4*F4</f>
        <v>1149.2906987846095</v>
      </c>
      <c r="X4">
        <v>2</v>
      </c>
      <c r="Y4">
        <v>3</v>
      </c>
    </row>
    <row r="5" spans="1:25" x14ac:dyDescent="0.3">
      <c r="A5" s="1" t="s">
        <v>29</v>
      </c>
      <c r="B5">
        <v>8</v>
      </c>
      <c r="C5" s="2">
        <v>4.0578020080417696</v>
      </c>
      <c r="D5">
        <f>C5/100</f>
        <v>4.0578020080417693E-2</v>
      </c>
      <c r="E5" s="5">
        <v>2319.0352126366288</v>
      </c>
      <c r="F5" s="3">
        <v>2500</v>
      </c>
      <c r="G5" s="2">
        <v>2.1290188282845648</v>
      </c>
      <c r="H5" s="2">
        <v>1.9925366639515789</v>
      </c>
      <c r="I5" s="2">
        <v>24545.575442595171</v>
      </c>
      <c r="J5" s="2">
        <f>H5-G5</f>
        <v>-0.13648216433298588</v>
      </c>
      <c r="K5" s="2">
        <f>D5*I5-D5*F5</f>
        <v>894.56580299399002</v>
      </c>
      <c r="L5" s="2">
        <v>2.3506017787093851</v>
      </c>
      <c r="M5" s="2">
        <v>2.1686218917992042</v>
      </c>
      <c r="N5" s="2">
        <v>25656.375840924349</v>
      </c>
      <c r="O5" s="2">
        <f>M5-L5</f>
        <v>-0.18197988691018097</v>
      </c>
      <c r="P5" s="2">
        <f>N5*D5-D5*F5</f>
        <v>939.63988386272752</v>
      </c>
      <c r="Q5" s="2">
        <v>2.5952465279622259</v>
      </c>
      <c r="R5" s="2">
        <v>2.6144561076743198</v>
      </c>
      <c r="S5" s="2">
        <v>26817.445076006348</v>
      </c>
      <c r="T5" s="2">
        <f>R5-Q5</f>
        <v>1.9209579712093916E-2</v>
      </c>
      <c r="U5">
        <f>S5*D5-D5*F5</f>
        <v>986.75377459864001</v>
      </c>
      <c r="X5">
        <v>3</v>
      </c>
      <c r="Y5">
        <v>7.5</v>
      </c>
    </row>
    <row r="6" spans="1:25" x14ac:dyDescent="0.3">
      <c r="A6" s="1" t="s">
        <v>8</v>
      </c>
      <c r="B6">
        <v>8</v>
      </c>
      <c r="C6" s="2">
        <v>2.0435960352126705</v>
      </c>
      <c r="D6">
        <f>C6/100</f>
        <v>2.0435960352126706E-2</v>
      </c>
      <c r="E6" s="5">
        <v>2319.0352126366288</v>
      </c>
      <c r="F6" s="3">
        <v>2500</v>
      </c>
      <c r="G6" s="2">
        <v>0.93239625544239291</v>
      </c>
      <c r="H6" s="2">
        <v>0.95798165837860405</v>
      </c>
      <c r="I6" s="2">
        <v>40549.529645079521</v>
      </c>
      <c r="J6" s="2">
        <f>H6-G6</f>
        <v>2.5585402936211143E-2</v>
      </c>
      <c r="K6" s="2">
        <f>D6*I6-D6*F6</f>
        <v>777.57867924391473</v>
      </c>
      <c r="L6" s="2">
        <v>1.0131154966295099</v>
      </c>
      <c r="M6" s="2">
        <v>1.0920339144889799</v>
      </c>
      <c r="N6" s="2">
        <v>43231.472914778831</v>
      </c>
      <c r="O6" s="2">
        <f>M6-L6</f>
        <v>7.8918417859469958E-2</v>
      </c>
      <c r="P6" s="2">
        <f>N6*D6-D6*F6</f>
        <v>832.38676557014298</v>
      </c>
      <c r="Q6" s="2">
        <v>1.30082274946918</v>
      </c>
      <c r="R6" s="2">
        <v>1.9782772976234499</v>
      </c>
      <c r="S6" s="2">
        <v>46090.799738981543</v>
      </c>
      <c r="T6" s="2">
        <f>R6-Q6</f>
        <v>0.67745454815426998</v>
      </c>
      <c r="U6">
        <f>S6*D6-D6*F6</f>
        <v>890.81985518332192</v>
      </c>
      <c r="X6">
        <v>4</v>
      </c>
      <c r="Y6">
        <v>20</v>
      </c>
    </row>
    <row r="7" spans="1:25" x14ac:dyDescent="0.3">
      <c r="A7" s="1" t="s">
        <v>20</v>
      </c>
      <c r="B7">
        <v>8</v>
      </c>
      <c r="C7" s="2">
        <v>3.2449036993312039</v>
      </c>
      <c r="D7">
        <f>C7/100</f>
        <v>3.2449036993312037E-2</v>
      </c>
      <c r="E7" s="5">
        <v>2319.0352126366288</v>
      </c>
      <c r="F7" s="3">
        <v>5000</v>
      </c>
      <c r="G7" s="2">
        <v>1.785023647661643</v>
      </c>
      <c r="H7" s="2">
        <v>1.7962106310614741</v>
      </c>
      <c r="I7" s="2">
        <v>25341.617964533591</v>
      </c>
      <c r="J7" s="2">
        <f>H7-G7</f>
        <v>1.1186983399831041E-2</v>
      </c>
      <c r="K7" s="2">
        <f>D7*I7-D7*F7</f>
        <v>660.06591383497118</v>
      </c>
      <c r="L7" s="2">
        <v>1.846881389240866</v>
      </c>
      <c r="M7" s="2">
        <v>1.8684158136046081</v>
      </c>
      <c r="N7" s="2">
        <v>26888.439324231022</v>
      </c>
      <c r="O7" s="2">
        <f>M7-L7</f>
        <v>2.1534424363742088E-2</v>
      </c>
      <c r="P7" s="2">
        <f>N7*D7-D7*F7</f>
        <v>710.25877735783843</v>
      </c>
      <c r="Q7" s="2">
        <v>1.9108827327820539</v>
      </c>
      <c r="R7" s="2">
        <v>1.7981482210562401</v>
      </c>
      <c r="S7" s="2">
        <v>28529.676767469951</v>
      </c>
      <c r="T7" s="2">
        <f>R7-Q7</f>
        <v>-0.11273451172581384</v>
      </c>
      <c r="U7">
        <f>S7*D7-D7*F7</f>
        <v>763.51535186830733</v>
      </c>
      <c r="X7">
        <v>5</v>
      </c>
      <c r="Y7">
        <v>50</v>
      </c>
    </row>
    <row r="8" spans="1:25" x14ac:dyDescent="0.3">
      <c r="A8" s="1" t="s">
        <v>2</v>
      </c>
      <c r="B8">
        <v>8</v>
      </c>
      <c r="C8" s="2">
        <v>1.6175349817772515</v>
      </c>
      <c r="D8">
        <f>C8/100</f>
        <v>1.6175349817772515E-2</v>
      </c>
      <c r="E8" s="5">
        <v>2319.0352126366288</v>
      </c>
      <c r="F8" s="3">
        <v>16717</v>
      </c>
      <c r="G8" s="2">
        <v>17.004312569068329</v>
      </c>
      <c r="H8" s="2">
        <v>20.9</v>
      </c>
      <c r="I8" s="2">
        <v>53301.498598384598</v>
      </c>
      <c r="J8" s="2">
        <f>H8-G8</f>
        <v>3.8956874309316696</v>
      </c>
      <c r="K8" s="2">
        <f>D8*I8-D8*F8</f>
        <v>591.76706273667912</v>
      </c>
      <c r="L8" s="2">
        <v>18.279628484663391</v>
      </c>
      <c r="M8" s="2">
        <v>28.4</v>
      </c>
      <c r="N8" s="2">
        <v>69902.104360697806</v>
      </c>
      <c r="O8" s="2">
        <f>M8-L8</f>
        <v>10.120371515336608</v>
      </c>
      <c r="P8" s="2">
        <f>N8*D8-D8*F8</f>
        <v>860.28766812902541</v>
      </c>
      <c r="Q8" s="2">
        <v>19.650592529400029</v>
      </c>
      <c r="R8" s="2">
        <v>31.7</v>
      </c>
      <c r="S8" s="2">
        <v>86612.657506675401</v>
      </c>
      <c r="T8" s="2">
        <f>R8-Q8</f>
        <v>12.04940747059997</v>
      </c>
      <c r="U8">
        <f>S8*D8-D8*F8</f>
        <v>1130.5867109136921</v>
      </c>
      <c r="X8">
        <v>6</v>
      </c>
      <c r="Y8">
        <v>120</v>
      </c>
    </row>
    <row r="9" spans="1:25" x14ac:dyDescent="0.3">
      <c r="A9" s="1" t="s">
        <v>16</v>
      </c>
      <c r="B9">
        <v>8</v>
      </c>
      <c r="C9" s="2">
        <v>3.3152380224398792</v>
      </c>
      <c r="D9">
        <f>C9/100</f>
        <v>3.3152380224398793E-2</v>
      </c>
      <c r="E9" s="5">
        <v>2319.0352126366288</v>
      </c>
      <c r="F9" s="4">
        <v>350</v>
      </c>
      <c r="G9" s="2">
        <v>1.1729192296757129</v>
      </c>
      <c r="H9" s="2">
        <v>1.085402770215133</v>
      </c>
      <c r="I9" s="2">
        <v>18035.230343198171</v>
      </c>
      <c r="J9" s="2">
        <f>H9-G9</f>
        <v>-8.7516459460579954E-2</v>
      </c>
      <c r="K9" s="2">
        <f>D9*I9-D9*F9</f>
        <v>586.30748069378058</v>
      </c>
      <c r="L9" s="2">
        <v>1.2265242163406289</v>
      </c>
      <c r="M9" s="2">
        <v>1.25806984419192</v>
      </c>
      <c r="N9" s="2">
        <v>18652.601129006351</v>
      </c>
      <c r="O9" s="2">
        <f>M9-L9</f>
        <v>3.1545627851291114E-2</v>
      </c>
      <c r="P9" s="2">
        <f>N9*D9-D9*F9</f>
        <v>606.77479172432925</v>
      </c>
      <c r="Q9" s="2">
        <v>1.282579068710398</v>
      </c>
      <c r="R9" s="2">
        <v>1.2455335429334491</v>
      </c>
      <c r="S9" s="2">
        <v>19291.105367502219</v>
      </c>
      <c r="T9" s="2">
        <f>R9-Q9</f>
        <v>-3.7045525776948862E-2</v>
      </c>
      <c r="U9">
        <f>S9*D9-D9*F9</f>
        <v>627.94272701383443</v>
      </c>
      <c r="X9">
        <v>7</v>
      </c>
      <c r="Y9">
        <v>350</v>
      </c>
    </row>
    <row r="10" spans="1:25" x14ac:dyDescent="0.3">
      <c r="A10" s="1" t="s">
        <v>27</v>
      </c>
      <c r="B10">
        <v>8</v>
      </c>
      <c r="C10" s="2">
        <v>1.6069123677529198</v>
      </c>
      <c r="D10">
        <f>C10/100</f>
        <v>1.6069123677529197E-2</v>
      </c>
      <c r="E10" s="5">
        <v>2319.0352126366288</v>
      </c>
      <c r="F10" s="3">
        <v>3000</v>
      </c>
      <c r="G10" s="2">
        <v>1.2558975047859791</v>
      </c>
      <c r="H10" s="2">
        <v>1.300960324152423</v>
      </c>
      <c r="I10" s="2">
        <v>37107.98935710697</v>
      </c>
      <c r="J10" s="2">
        <f>H10-G10</f>
        <v>4.5062819366443962E-2</v>
      </c>
      <c r="K10" s="2">
        <f>D10*I10-D10*F10</f>
        <v>548.08549937120142</v>
      </c>
      <c r="L10" s="2">
        <v>1.3154592475830409</v>
      </c>
      <c r="M10" s="2">
        <v>1.235992655577296</v>
      </c>
      <c r="N10" s="2">
        <v>38077.409742518008</v>
      </c>
      <c r="O10" s="2">
        <f>M10-L10</f>
        <v>-7.9466592005744907E-2</v>
      </c>
      <c r="P10" s="2">
        <f>N10*D10-D10*F10</f>
        <v>563.66323543988938</v>
      </c>
      <c r="Q10" s="2">
        <v>1.377845744145044</v>
      </c>
      <c r="R10" s="2">
        <v>1.3541404458069399</v>
      </c>
      <c r="S10" s="2">
        <v>39072.155560536201</v>
      </c>
      <c r="T10" s="2">
        <f>R10-Q10</f>
        <v>-2.3705298338104086E-2</v>
      </c>
      <c r="U10">
        <f>S10*D10-D10*F10</f>
        <v>579.64792901732869</v>
      </c>
      <c r="X10">
        <v>8</v>
      </c>
      <c r="Y10">
        <v>1000</v>
      </c>
    </row>
    <row r="11" spans="1:25" x14ac:dyDescent="0.3">
      <c r="A11" s="1" t="s">
        <v>23</v>
      </c>
      <c r="B11">
        <v>8</v>
      </c>
      <c r="C11" s="2">
        <v>2.2408960359373009</v>
      </c>
      <c r="D11">
        <f>C11/100</f>
        <v>2.2408960359373009E-2</v>
      </c>
      <c r="E11" s="5">
        <v>2319.0352126366288</v>
      </c>
      <c r="F11" s="3">
        <v>13000</v>
      </c>
      <c r="G11" s="2">
        <v>1.853807102788986</v>
      </c>
      <c r="H11" s="2">
        <v>1.9081089454029061</v>
      </c>
      <c r="I11" s="2">
        <v>37110.296019736903</v>
      </c>
      <c r="J11" s="2">
        <f>H11-G11</f>
        <v>5.4301842613920126E-2</v>
      </c>
      <c r="K11" s="2">
        <f>D11*I11-D11*F11</f>
        <v>540.28666775903309</v>
      </c>
      <c r="L11" s="2">
        <v>1.9690659921770599</v>
      </c>
      <c r="M11" s="2">
        <v>1.7931684246142201</v>
      </c>
      <c r="N11" s="2">
        <v>39914.942000431583</v>
      </c>
      <c r="O11" s="2">
        <f>M11-L11</f>
        <v>-0.17589756756283981</v>
      </c>
      <c r="P11" s="2">
        <f>N11*D11-D11*F11</f>
        <v>603.13586836249499</v>
      </c>
      <c r="Q11" s="2">
        <v>2.0914910055717728</v>
      </c>
      <c r="R11" s="2">
        <v>2.0904341944315759</v>
      </c>
      <c r="S11" s="2">
        <v>42931.55177340762</v>
      </c>
      <c r="T11" s="2">
        <f>R11-Q11</f>
        <v>-1.056811140196956E-3</v>
      </c>
      <c r="U11">
        <f>S11*D11-D11*F11</f>
        <v>670.73495718481229</v>
      </c>
      <c r="X11">
        <v>9</v>
      </c>
      <c r="Y11">
        <v>4000</v>
      </c>
    </row>
    <row r="12" spans="1:25" x14ac:dyDescent="0.3">
      <c r="A12" s="1" t="s">
        <v>3</v>
      </c>
      <c r="B12">
        <v>8</v>
      </c>
      <c r="C12" s="2">
        <v>4.3285134486556753</v>
      </c>
      <c r="D12">
        <f>C12/100</f>
        <v>4.3285134486556756E-2</v>
      </c>
      <c r="E12" s="5">
        <v>2319.0352126366288</v>
      </c>
      <c r="F12" s="3">
        <v>4000</v>
      </c>
      <c r="G12" s="2">
        <v>1.5252689506181301</v>
      </c>
      <c r="H12" s="2">
        <v>1.4816691997985121</v>
      </c>
      <c r="I12" s="2">
        <v>16062.980702514589</v>
      </c>
      <c r="J12" s="2">
        <f>H12-G12</f>
        <v>-4.3599750819617977E-2</v>
      </c>
      <c r="K12" s="2">
        <f>D12*I12-D12*F12</f>
        <v>522.14774201708292</v>
      </c>
      <c r="L12" s="2">
        <v>1.652816144512598</v>
      </c>
      <c r="M12" s="2">
        <v>1.5891510542107721</v>
      </c>
      <c r="N12" s="2">
        <v>16537.933253740299</v>
      </c>
      <c r="O12" s="2">
        <f>M12-L12</f>
        <v>-6.3665090301825877E-2</v>
      </c>
      <c r="P12" s="2">
        <f>N12*D12-D12*F12</f>
        <v>542.70612707162093</v>
      </c>
      <c r="Q12" s="2">
        <v>1.791029186330974</v>
      </c>
      <c r="R12" s="2">
        <v>1.646246390769138</v>
      </c>
      <c r="S12" s="2">
        <v>17026.92927112546</v>
      </c>
      <c r="T12" s="2">
        <f>R12-Q12</f>
        <v>-0.14478279556183593</v>
      </c>
      <c r="U12">
        <f>S12*D12-D12*F12</f>
        <v>563.87238544752836</v>
      </c>
      <c r="X12">
        <v>10</v>
      </c>
      <c r="Y12">
        <v>20000</v>
      </c>
    </row>
    <row r="13" spans="1:25" x14ac:dyDescent="0.3">
      <c r="A13" s="1" t="s">
        <v>21</v>
      </c>
      <c r="B13">
        <v>8</v>
      </c>
      <c r="C13" s="2">
        <v>2.1027365483495859</v>
      </c>
      <c r="D13">
        <f>C13/100</f>
        <v>2.1027365483495861E-2</v>
      </c>
      <c r="E13" s="5">
        <v>2319.0352126366288</v>
      </c>
      <c r="F13" s="3">
        <v>4000</v>
      </c>
      <c r="G13" s="2">
        <v>1.879061781803542</v>
      </c>
      <c r="H13" s="2">
        <v>2.0590207790100998</v>
      </c>
      <c r="I13" s="2">
        <v>25775.213187620211</v>
      </c>
      <c r="J13" s="2">
        <f>H13-G13</f>
        <v>0.17995899720655784</v>
      </c>
      <c r="K13" s="2">
        <f>D13*I13-D13*F13</f>
        <v>457.87536617712908</v>
      </c>
      <c r="L13" s="2">
        <v>1.9930318625783059</v>
      </c>
      <c r="M13" s="2">
        <v>1.8625223165927389</v>
      </c>
      <c r="N13" s="2">
        <v>26952.932152665449</v>
      </c>
      <c r="O13" s="2">
        <f>M13-L13</f>
        <v>-0.13050954598556697</v>
      </c>
      <c r="P13" s="2">
        <f>N13*D13-D13*F13</f>
        <v>482.63969329197982</v>
      </c>
      <c r="Q13" s="2">
        <v>2.1139145310271918</v>
      </c>
      <c r="R13" s="2">
        <v>2.0230474845547701</v>
      </c>
      <c r="S13" s="2">
        <v>28184.4633578086</v>
      </c>
      <c r="T13" s="2">
        <f>R13-Q13</f>
        <v>-9.086704647242172E-2</v>
      </c>
      <c r="U13">
        <f>S13*D13-D13*F13</f>
        <v>508.53555004685495</v>
      </c>
    </row>
    <row r="14" spans="1:25" x14ac:dyDescent="0.3">
      <c r="A14" s="1" t="s">
        <v>5</v>
      </c>
      <c r="B14">
        <v>8</v>
      </c>
      <c r="C14" s="2">
        <v>4.4957505658860741</v>
      </c>
      <c r="D14">
        <f>C14/100</f>
        <v>4.4957505658860739E-2</v>
      </c>
      <c r="E14" s="5">
        <v>2319.0352126366288</v>
      </c>
      <c r="F14" s="3">
        <v>4200</v>
      </c>
      <c r="G14" s="2">
        <v>58.080077101825403</v>
      </c>
      <c r="H14" s="2">
        <v>62.45</v>
      </c>
      <c r="I14" s="2">
        <v>12128.92230938894</v>
      </c>
      <c r="J14" s="2">
        <f>H14-G14</f>
        <v>4.3699228981746003</v>
      </c>
      <c r="K14" s="2">
        <f>D14*I14-D14*F14</f>
        <v>356.46456959302043</v>
      </c>
      <c r="L14" s="2">
        <v>61.018706380575701</v>
      </c>
      <c r="M14" s="2">
        <v>74.290000000000006</v>
      </c>
      <c r="N14" s="2">
        <v>12992.066992146871</v>
      </c>
      <c r="O14" s="2">
        <f>M14-L14</f>
        <v>13.271293619424306</v>
      </c>
      <c r="P14" s="2">
        <f>N14*D14-D14*F14</f>
        <v>395.26940155252566</v>
      </c>
      <c r="Q14" s="2">
        <v>64.1060190369803</v>
      </c>
      <c r="R14" s="2">
        <v>79.081650670656003</v>
      </c>
      <c r="S14" s="2">
        <v>13916.63664938884</v>
      </c>
      <c r="T14" s="2">
        <f>R14-Q14</f>
        <v>14.975631633675704</v>
      </c>
      <c r="U14">
        <f>S14*D14-D14*F14</f>
        <v>436.83574714999236</v>
      </c>
    </row>
    <row r="15" spans="1:25" x14ac:dyDescent="0.3">
      <c r="A15" s="1" t="s">
        <v>1</v>
      </c>
      <c r="B15">
        <v>8</v>
      </c>
      <c r="C15" s="2">
        <v>2.447448425472031</v>
      </c>
      <c r="D15">
        <f>C15/100</f>
        <v>2.4474484254720309E-2</v>
      </c>
      <c r="E15" s="5">
        <v>2319.0352126366288</v>
      </c>
      <c r="F15" s="3">
        <v>3409</v>
      </c>
      <c r="G15" s="2">
        <v>1.463565351487399</v>
      </c>
      <c r="H15" s="2">
        <v>1.5325696239104161</v>
      </c>
      <c r="I15" s="2">
        <v>17305.226462107999</v>
      </c>
      <c r="J15" s="2">
        <f>H15-G15</f>
        <v>6.9004272423017099E-2</v>
      </c>
      <c r="K15" s="2">
        <f>D15*I15-D15*F15</f>
        <v>340.10297574688991</v>
      </c>
      <c r="L15" s="2">
        <v>1.503250719454029</v>
      </c>
      <c r="M15" s="2">
        <v>1.5210207984951161</v>
      </c>
      <c r="N15" s="2">
        <v>28113.227427300299</v>
      </c>
      <c r="O15" s="2">
        <f>M15-L15</f>
        <v>1.7770079041087072E-2</v>
      </c>
      <c r="P15" s="2">
        <f>N15*D15-D15*F15</f>
        <v>604.62322519449083</v>
      </c>
      <c r="Q15" s="2">
        <v>1.544012177688201</v>
      </c>
      <c r="R15" s="2">
        <v>1.706637510061765</v>
      </c>
      <c r="S15" s="2">
        <v>38938.72903842455</v>
      </c>
      <c r="T15" s="2">
        <f>R15-Q15</f>
        <v>0.16262533237356402</v>
      </c>
      <c r="U15">
        <f>S15*D15-D15*F15</f>
        <v>869.57179392540058</v>
      </c>
    </row>
    <row r="16" spans="1:25" x14ac:dyDescent="0.3">
      <c r="A16" s="1" t="s">
        <v>22</v>
      </c>
      <c r="B16">
        <v>8</v>
      </c>
      <c r="C16" s="2">
        <v>3.691741102361231</v>
      </c>
      <c r="D16">
        <f>C16/100</f>
        <v>3.6917411023612311E-2</v>
      </c>
      <c r="E16" s="5">
        <v>2319.0352126366288</v>
      </c>
      <c r="F16" s="3">
        <v>11000</v>
      </c>
      <c r="G16" s="2">
        <v>1.4633663003879449</v>
      </c>
      <c r="H16" s="2">
        <v>1.5175035670060559</v>
      </c>
      <c r="I16" s="2">
        <v>16522.513744438729</v>
      </c>
      <c r="J16" s="2">
        <f>H16-G16</f>
        <v>5.4137266618111024E-2</v>
      </c>
      <c r="K16" s="2">
        <f>D16*I16-D16*F16</f>
        <v>203.87690978699283</v>
      </c>
      <c r="L16" s="2">
        <v>1.545698135284991</v>
      </c>
      <c r="M16" s="2">
        <v>1.5408434451107269</v>
      </c>
      <c r="N16" s="2">
        <v>17168.613031129891</v>
      </c>
      <c r="O16" s="2">
        <f>M16-L16</f>
        <v>-4.854690174264098E-3</v>
      </c>
      <c r="P16" s="2">
        <f>N16*D16-D16*F16</f>
        <v>227.72922271583315</v>
      </c>
      <c r="Q16" s="2">
        <v>1.6326621193819471</v>
      </c>
      <c r="R16" s="2">
        <v>1.6838366810158369</v>
      </c>
      <c r="S16" s="2">
        <v>17839.977498090811</v>
      </c>
      <c r="T16" s="2">
        <f>R16-Q16</f>
        <v>5.1174561633889892E-2</v>
      </c>
      <c r="U16">
        <f>S16*D16-D16*F16</f>
        <v>252.51426068927782</v>
      </c>
    </row>
    <row r="17" spans="1:21" x14ac:dyDescent="0.3">
      <c r="A17" s="1" t="s">
        <v>28</v>
      </c>
      <c r="B17">
        <v>8</v>
      </c>
      <c r="C17" s="2">
        <v>1.4396338864670251</v>
      </c>
      <c r="D17">
        <f>C17/100</f>
        <v>1.439633886467025E-2</v>
      </c>
      <c r="E17" s="5">
        <v>2319.0352126366288</v>
      </c>
      <c r="F17" s="3">
        <v>6000</v>
      </c>
      <c r="G17" s="2">
        <v>1.491988663935325</v>
      </c>
      <c r="H17" s="2">
        <v>1.522841845790047</v>
      </c>
      <c r="I17" s="2">
        <v>19918.738025123261</v>
      </c>
      <c r="J17" s="2">
        <f>H17-G17</f>
        <v>3.0853181854721967E-2</v>
      </c>
      <c r="K17" s="2">
        <f>D17*I17-D17*F17</f>
        <v>200.37886917824562</v>
      </c>
      <c r="L17" s="2">
        <v>1.5836030330807911</v>
      </c>
      <c r="M17" s="2">
        <v>1.6375938969884301</v>
      </c>
      <c r="N17" s="2">
        <v>21441.66537255549</v>
      </c>
      <c r="O17" s="2">
        <f>M17-L17</f>
        <v>5.3990863907638964E-2</v>
      </c>
      <c r="P17" s="2">
        <f>N17*D17-D17*F17</f>
        <v>222.30344733815343</v>
      </c>
      <c r="Q17" s="2">
        <v>1.68084290920014</v>
      </c>
      <c r="R17" s="2">
        <v>1.560904907602974</v>
      </c>
      <c r="S17" s="2">
        <v>23081.031206333158</v>
      </c>
      <c r="T17" s="2">
        <f>R17-Q17</f>
        <v>-0.11993800159716606</v>
      </c>
      <c r="U17">
        <f>S17*D17-D17*F17</f>
        <v>245.90431340437942</v>
      </c>
    </row>
    <row r="18" spans="1:21" x14ac:dyDescent="0.3">
      <c r="A18" s="1" t="s">
        <v>15</v>
      </c>
      <c r="B18">
        <v>8</v>
      </c>
      <c r="C18" s="2">
        <v>0.67341567838217009</v>
      </c>
      <c r="D18">
        <f>C18/100</f>
        <v>6.7341567838217009E-3</v>
      </c>
      <c r="E18" s="5">
        <v>2319.0352126366288</v>
      </c>
      <c r="F18" s="3">
        <v>1300</v>
      </c>
      <c r="G18" s="2">
        <v>0.90556126054216535</v>
      </c>
      <c r="H18" s="2">
        <v>0.9398275521507945</v>
      </c>
      <c r="I18" s="2">
        <v>21498.703058979019</v>
      </c>
      <c r="J18" s="2">
        <f>H18-G18</f>
        <v>3.4266291608629151E-2</v>
      </c>
      <c r="K18" s="2">
        <f>D18*I18-D18*F18</f>
        <v>136.02123322902372</v>
      </c>
      <c r="L18" s="2">
        <v>0.96977381667976781</v>
      </c>
      <c r="M18" s="2">
        <v>1.0197797006673801</v>
      </c>
      <c r="N18" s="2">
        <v>23185.99424691121</v>
      </c>
      <c r="O18" s="2">
        <f>M18-L18</f>
        <v>5.0005883987612298E-2</v>
      </c>
      <c r="P18" s="2">
        <f>N18*D18-D18*F18</f>
        <v>147.38371662851986</v>
      </c>
      <c r="Q18" s="2">
        <v>1.03853962895297</v>
      </c>
      <c r="R18" s="2">
        <v>1.14134585356838</v>
      </c>
      <c r="S18" s="2">
        <v>25005.709774351861</v>
      </c>
      <c r="T18" s="2">
        <f>R18-Q18</f>
        <v>0.10280622461541</v>
      </c>
      <c r="U18">
        <f>S18*D18-D18*F18</f>
        <v>159.63796629225999</v>
      </c>
    </row>
    <row r="19" spans="1:21" x14ac:dyDescent="0.3">
      <c r="A19" s="1" t="s">
        <v>24</v>
      </c>
      <c r="B19">
        <v>8</v>
      </c>
      <c r="C19" s="2">
        <v>0.64949120175467301</v>
      </c>
      <c r="D19">
        <f>C19/100</f>
        <v>6.4949120175467299E-3</v>
      </c>
      <c r="E19" s="5">
        <v>2319.0352126366288</v>
      </c>
      <c r="F19" s="3">
        <v>27000</v>
      </c>
      <c r="G19" s="2">
        <v>1.0613797550909361</v>
      </c>
      <c r="H19" s="2">
        <v>1.0210137008272171</v>
      </c>
      <c r="I19" s="2">
        <v>42069.030663023957</v>
      </c>
      <c r="J19" s="2">
        <f>H19-G19</f>
        <v>-4.0366054263718976E-2</v>
      </c>
      <c r="K19" s="2">
        <f>D19*I19-D19*F19</f>
        <v>97.872028346054464</v>
      </c>
      <c r="L19" s="2">
        <v>1.089473037477906</v>
      </c>
      <c r="M19" s="2">
        <v>1.2031274006099979</v>
      </c>
      <c r="N19" s="2">
        <v>44736.938605088719</v>
      </c>
      <c r="O19" s="2">
        <f>M19-L19</f>
        <v>0.11365436313209187</v>
      </c>
      <c r="P19" s="2">
        <f>N19*D19-D19*F19</f>
        <v>115.19985570067925</v>
      </c>
      <c r="Q19" s="2">
        <v>1.118309910941953</v>
      </c>
      <c r="R19" s="2">
        <v>1.2145141785512019</v>
      </c>
      <c r="S19" s="2">
        <v>47574.038294031263</v>
      </c>
      <c r="T19" s="2">
        <f>R19-Q19</f>
        <v>9.6204267609248939E-2</v>
      </c>
      <c r="U19">
        <f>S19*D19-D19*F19</f>
        <v>133.62656856537026</v>
      </c>
    </row>
    <row r="20" spans="1:21" x14ac:dyDescent="0.3">
      <c r="A20" s="1" t="s">
        <v>4</v>
      </c>
      <c r="B20">
        <v>8</v>
      </c>
      <c r="C20" s="2">
        <v>1.645272941416051</v>
      </c>
      <c r="D20">
        <f>C20/100</f>
        <v>1.6452729414160511E-2</v>
      </c>
      <c r="E20" s="5">
        <v>2319.0352126366288</v>
      </c>
      <c r="F20" s="3">
        <v>3500</v>
      </c>
      <c r="G20" s="2">
        <v>0.72592168275462765</v>
      </c>
      <c r="H20" s="2">
        <v>0.75210751333082182</v>
      </c>
      <c r="I20" s="2">
        <v>6676.4022798451306</v>
      </c>
      <c r="J20" s="2">
        <f>H20-G20</f>
        <v>2.6185830576194169E-2</v>
      </c>
      <c r="K20" s="2">
        <f>D20*I20-D20*F20</f>
        <v>52.26048722081449</v>
      </c>
      <c r="L20" s="2">
        <v>0.75561494029006093</v>
      </c>
      <c r="M20" s="2">
        <v>0.73867516566535296</v>
      </c>
      <c r="N20" s="2">
        <v>6994.9414878942907</v>
      </c>
      <c r="O20" s="2">
        <f>M20-L20</f>
        <v>-1.6939774624707971E-2</v>
      </c>
      <c r="P20" s="2">
        <f>N20*D20-D20*F20</f>
        <v>57.501326618648299</v>
      </c>
      <c r="Q20" s="2">
        <v>0.78652277725466857</v>
      </c>
      <c r="R20" s="2">
        <v>0.82788944560603273</v>
      </c>
      <c r="S20" s="2">
        <v>7328.678585886496</v>
      </c>
      <c r="T20" s="2">
        <f>R20-Q20</f>
        <v>4.1366668351364155E-2</v>
      </c>
      <c r="U20">
        <f>S20*D20-D20*F20</f>
        <v>62.992212787381213</v>
      </c>
    </row>
    <row r="21" spans="1:21" x14ac:dyDescent="0.3">
      <c r="A21" s="1" t="s">
        <v>12</v>
      </c>
      <c r="B21">
        <v>8</v>
      </c>
      <c r="C21" s="2">
        <v>0</v>
      </c>
      <c r="D21">
        <f>C21/100</f>
        <v>0</v>
      </c>
      <c r="E21" s="5">
        <v>2319.0352126366288</v>
      </c>
      <c r="F21" s="3">
        <v>25000</v>
      </c>
      <c r="G21" s="2">
        <v>1.484910215527891</v>
      </c>
      <c r="H21" s="2">
        <v>1.392808710746702</v>
      </c>
      <c r="I21" s="2">
        <v>2311.4962658252998</v>
      </c>
      <c r="J21" s="2">
        <f>H21-G21</f>
        <v>-9.2101504781189059E-2</v>
      </c>
      <c r="K21" s="2">
        <f>D21*I21-D21*F21</f>
        <v>0</v>
      </c>
      <c r="L21" s="2">
        <v>1.582455796486629</v>
      </c>
      <c r="M21" s="2">
        <v>1.734310287466825</v>
      </c>
      <c r="N21" s="2">
        <v>4257.3402051843004</v>
      </c>
      <c r="O21" s="2">
        <f>M21-L21</f>
        <v>0.15185449098019599</v>
      </c>
      <c r="P21" s="2">
        <f>N21*D21-D21*F21</f>
        <v>0</v>
      </c>
      <c r="Q21" s="2">
        <v>1.6864092668012871</v>
      </c>
      <c r="R21" s="2">
        <v>1.7740623666252791</v>
      </c>
      <c r="S21" s="2">
        <v>7453.3859144561002</v>
      </c>
      <c r="T21" s="2">
        <f>R21-Q21</f>
        <v>8.7653099823991942E-2</v>
      </c>
      <c r="U21">
        <f>S21*D21-D21*F21</f>
        <v>0</v>
      </c>
    </row>
    <row r="22" spans="1:21" x14ac:dyDescent="0.3">
      <c r="A22" s="1" t="s">
        <v>14</v>
      </c>
      <c r="B22">
        <v>8</v>
      </c>
      <c r="C22" s="2">
        <v>0</v>
      </c>
      <c r="D22">
        <f>C22/100</f>
        <v>0</v>
      </c>
      <c r="E22" s="5">
        <v>2319.0352126366288</v>
      </c>
      <c r="F22" s="3">
        <v>70000</v>
      </c>
      <c r="G22" s="2">
        <v>1.077626769467434</v>
      </c>
      <c r="H22" s="2">
        <v>1.015653850208996</v>
      </c>
      <c r="I22" s="2">
        <v>60290.4099143282</v>
      </c>
      <c r="J22" s="2">
        <f>H22-G22</f>
        <v>-6.1972919258437953E-2</v>
      </c>
      <c r="K22" s="2">
        <f>D22*I22-D22*F22</f>
        <v>0</v>
      </c>
      <c r="L22" s="2">
        <v>1.142974417824707</v>
      </c>
      <c r="M22" s="2">
        <v>1.1152132341608849</v>
      </c>
      <c r="N22" s="2">
        <v>67505.910203974199</v>
      </c>
      <c r="O22" s="2">
        <f>M22-L22</f>
        <v>-2.7761183663822075E-2</v>
      </c>
      <c r="P22" s="2">
        <f>N22*D22-D22*F22</f>
        <v>0</v>
      </c>
      <c r="Q22" s="2">
        <v>1.212284769472969</v>
      </c>
      <c r="R22" s="2">
        <v>1.256495404153982</v>
      </c>
      <c r="S22" s="2">
        <v>74843.237041025801</v>
      </c>
      <c r="T22" s="2">
        <f>R22-Q22</f>
        <v>4.4210634681012939E-2</v>
      </c>
      <c r="U22">
        <f>S22*D22-D22*F22</f>
        <v>0</v>
      </c>
    </row>
    <row r="23" spans="1:21" x14ac:dyDescent="0.3">
      <c r="A23" s="1" t="s">
        <v>13</v>
      </c>
      <c r="B23">
        <v>8</v>
      </c>
      <c r="C23" s="2">
        <v>0</v>
      </c>
      <c r="D23">
        <f>C23/100</f>
        <v>0</v>
      </c>
      <c r="E23" s="5">
        <v>2319.0352126366288</v>
      </c>
      <c r="F23" s="3">
        <v>60000</v>
      </c>
      <c r="G23" s="2">
        <v>1.7804959592031759</v>
      </c>
      <c r="H23" s="2">
        <v>1.7198360852636589</v>
      </c>
      <c r="I23" s="2">
        <v>141511.83014637799</v>
      </c>
      <c r="J23" s="2">
        <f>H23-G23</f>
        <v>-6.0659873939516995E-2</v>
      </c>
      <c r="K23" s="2">
        <f>D23*I23-D23*F23</f>
        <v>0</v>
      </c>
      <c r="L23" s="2">
        <v>1.96916181765323</v>
      </c>
      <c r="M23" s="2">
        <v>1.8995303725453041</v>
      </c>
      <c r="N23" s="2">
        <v>153475.59718280099</v>
      </c>
      <c r="O23" s="2">
        <f>M23-L23</f>
        <v>-6.9631445107925849E-2</v>
      </c>
      <c r="P23" s="2">
        <f>N23*D23-D23*F23</f>
        <v>0</v>
      </c>
      <c r="Q23" s="2">
        <v>2.177819187996759</v>
      </c>
      <c r="R23" s="2">
        <v>2.015051309653118</v>
      </c>
      <c r="S23" s="2">
        <v>195561.743051408</v>
      </c>
      <c r="T23" s="2">
        <f>R23-Q23</f>
        <v>-0.16276787834364104</v>
      </c>
      <c r="U23">
        <f>S23*D23-D23*F23</f>
        <v>0</v>
      </c>
    </row>
    <row r="24" spans="1:21" x14ac:dyDescent="0.3">
      <c r="A24" s="1" t="s">
        <v>6</v>
      </c>
      <c r="B24">
        <v>8</v>
      </c>
      <c r="C24" s="2">
        <v>0.40401558470873544</v>
      </c>
      <c r="D24">
        <f>C24/100</f>
        <v>4.0401558470873544E-3</v>
      </c>
      <c r="E24" s="5">
        <v>2319.0352126366288</v>
      </c>
      <c r="F24" s="3">
        <v>191508</v>
      </c>
      <c r="G24" s="2">
        <v>1.819706973856883</v>
      </c>
      <c r="H24" s="2">
        <v>2.7217959830616101</v>
      </c>
      <c r="I24" s="2">
        <v>188655.84174405399</v>
      </c>
      <c r="J24" s="2">
        <f>H24-G24</f>
        <v>0.90208900920472712</v>
      </c>
      <c r="K24" s="2">
        <f>D24*I24-D24*F24</f>
        <v>-11.523163854578684</v>
      </c>
      <c r="L24" s="2">
        <v>1.9119047877605539</v>
      </c>
      <c r="M24" s="2">
        <v>2.69363954877385</v>
      </c>
      <c r="N24" s="2">
        <v>219030.74346234501</v>
      </c>
      <c r="O24" s="2">
        <f>M24-L24</f>
        <v>0.78173476101329609</v>
      </c>
      <c r="P24" s="2">
        <f>N24*D24-D24*F24</f>
        <v>111.19617292727844</v>
      </c>
      <c r="Q24" s="2">
        <v>2.008773923481824</v>
      </c>
      <c r="R24" s="2">
        <v>3.25125234522055</v>
      </c>
      <c r="S24" s="2">
        <v>259413.179083439</v>
      </c>
      <c r="T24" s="2">
        <f>R24-Q24</f>
        <v>1.2424784217387259</v>
      </c>
      <c r="U24">
        <f>S24*D24-D24*F24</f>
        <v>274.34750632146995</v>
      </c>
    </row>
    <row r="25" spans="1:21" x14ac:dyDescent="0.3">
      <c r="A25" s="1" t="s">
        <v>26</v>
      </c>
      <c r="B25">
        <v>8</v>
      </c>
      <c r="C25" s="2">
        <v>0.20718060617937104</v>
      </c>
      <c r="D25">
        <f>C25/100</f>
        <v>2.0718060617937102E-3</v>
      </c>
      <c r="E25" s="5">
        <v>2319.0352126366288</v>
      </c>
      <c r="F25" s="3">
        <v>35000</v>
      </c>
      <c r="G25" s="2">
        <v>1.4328659453188259</v>
      </c>
      <c r="H25" s="2">
        <v>1.570019242357521</v>
      </c>
      <c r="I25" s="2">
        <v>29232.937553452772</v>
      </c>
      <c r="J25" s="2">
        <f>H25-G25</f>
        <v>0.13715329703869505</v>
      </c>
      <c r="K25" s="2">
        <f>D25*I25-D25*F25</f>
        <v>-11.948234935499407</v>
      </c>
      <c r="L25" s="2">
        <v>1.5668558494508551</v>
      </c>
      <c r="M25" s="2">
        <v>1.6239821320514669</v>
      </c>
      <c r="N25" s="2">
        <v>31514.393987322019</v>
      </c>
      <c r="O25" s="2">
        <f>M25-L25</f>
        <v>5.7126282600611811E-2</v>
      </c>
      <c r="P25" s="2">
        <f>N25*D25-D25*F25</f>
        <v>-7.2214996660908355</v>
      </c>
      <c r="Q25" s="2">
        <v>1.7133753935453411</v>
      </c>
      <c r="R25" s="2">
        <v>1.73146019067279</v>
      </c>
      <c r="S25" s="2">
        <v>33973.904489487562</v>
      </c>
      <c r="T25" s="2">
        <f>R25-Q25</f>
        <v>1.8084797127448926E-2</v>
      </c>
      <c r="U25">
        <f>S25*D25-D25*F25</f>
        <v>-2.1258708986589738</v>
      </c>
    </row>
    <row r="26" spans="1:21" x14ac:dyDescent="0.3">
      <c r="A26" s="1" t="s">
        <v>19</v>
      </c>
      <c r="B26">
        <v>8</v>
      </c>
      <c r="C26" s="2">
        <v>3.9243588539363641</v>
      </c>
      <c r="D26">
        <f>C26/100</f>
        <v>3.924358853936364E-2</v>
      </c>
      <c r="E26" s="5">
        <v>2319.0352126366288</v>
      </c>
      <c r="F26" s="3">
        <v>40000</v>
      </c>
      <c r="G26" s="2">
        <v>1.6567956570704541</v>
      </c>
      <c r="H26" s="2">
        <v>1.535879236813859</v>
      </c>
      <c r="I26" s="2">
        <v>39631.436985082997</v>
      </c>
      <c r="J26" s="2">
        <f>H26-G26</f>
        <v>-0.1209164202565951</v>
      </c>
      <c r="K26" s="2">
        <f>D26*I26-D26*F26</f>
        <v>-14.463735308230298</v>
      </c>
      <c r="L26" s="2">
        <v>1.757217885781126</v>
      </c>
      <c r="M26" s="2">
        <v>1.596000223516475</v>
      </c>
      <c r="N26" s="2">
        <v>42145.827806965288</v>
      </c>
      <c r="O26" s="2">
        <f>M26-L26</f>
        <v>-0.16121766226465106</v>
      </c>
      <c r="P26" s="2">
        <f>N26*D26-D26*F26</f>
        <v>84.209983532870865</v>
      </c>
      <c r="Q26" s="2">
        <v>1.8637269387638089</v>
      </c>
      <c r="R26" s="2">
        <v>1.719419082981547</v>
      </c>
      <c r="S26" s="2">
        <v>44819.742524172041</v>
      </c>
      <c r="T26" s="2">
        <f>R26-Q26</f>
        <v>-0.14430785578226191</v>
      </c>
      <c r="U26">
        <f>S26*D26-D26*F26</f>
        <v>189.1439924842814</v>
      </c>
    </row>
    <row r="27" spans="1:21" x14ac:dyDescent="0.3">
      <c r="A27" s="1" t="s">
        <v>9</v>
      </c>
      <c r="B27">
        <v>8</v>
      </c>
      <c r="C27" s="2">
        <v>3.704925609008666</v>
      </c>
      <c r="D27">
        <f>C27/100</f>
        <v>3.7049256090086663E-2</v>
      </c>
      <c r="E27" s="5">
        <v>2319.0352126366288</v>
      </c>
      <c r="F27" s="3">
        <v>2000</v>
      </c>
      <c r="G27" s="2">
        <v>2.0959877852963009</v>
      </c>
      <c r="H27" s="2">
        <v>2.1605190073216671</v>
      </c>
      <c r="I27" s="2">
        <v>14.155206465899999</v>
      </c>
      <c r="J27" s="2">
        <f>H27-G27</f>
        <v>6.4531222025366208E-2</v>
      </c>
      <c r="K27" s="2">
        <f>D27*I27-D27*F27</f>
        <v>-73.574072310810152</v>
      </c>
      <c r="L27" s="2">
        <v>2.311968300755276</v>
      </c>
      <c r="M27" s="2">
        <v>2.2433157768059209</v>
      </c>
      <c r="N27" s="2">
        <v>14.638342097000001</v>
      </c>
      <c r="O27" s="2">
        <f>M27-L27</f>
        <v>-6.8652523949355171E-2</v>
      </c>
      <c r="P27" s="2">
        <f>N27*D27-D27*F27</f>
        <v>-73.556172495087282</v>
      </c>
      <c r="Q27" s="2">
        <v>2.550204472179979</v>
      </c>
      <c r="R27" s="2">
        <v>2.2281045005826519</v>
      </c>
      <c r="S27" s="2">
        <v>15.941985089599999</v>
      </c>
      <c r="T27" s="2">
        <f>R27-Q27</f>
        <v>-0.32209997159732717</v>
      </c>
      <c r="U27">
        <f>S27*D27-D27*F27</f>
        <v>-73.507873492004393</v>
      </c>
    </row>
    <row r="28" spans="1:21" x14ac:dyDescent="0.3">
      <c r="A28" s="1" t="s">
        <v>10</v>
      </c>
      <c r="B28">
        <v>8</v>
      </c>
      <c r="C28" s="2">
        <v>12.90960719194684</v>
      </c>
      <c r="D28">
        <f>C28/100</f>
        <v>0.1290960719194684</v>
      </c>
      <c r="E28" s="5">
        <v>2319.0352126366288</v>
      </c>
      <c r="F28" s="4">
        <v>700</v>
      </c>
      <c r="G28" s="2">
        <v>1.159199631851364</v>
      </c>
      <c r="H28" s="2">
        <v>1.16588048992663</v>
      </c>
      <c r="I28" s="2">
        <v>1.4848853162</v>
      </c>
      <c r="J28" s="2">
        <f>H28-G28</f>
        <v>6.6808580752659719E-3</v>
      </c>
      <c r="K28" s="2">
        <f>D28*I28-D28*F28</f>
        <v>-90.175557482055552</v>
      </c>
      <c r="L28" s="2">
        <v>1.232289804884739</v>
      </c>
      <c r="M28" s="2">
        <v>1.2209669737985049</v>
      </c>
      <c r="N28" s="2">
        <v>1.5953434846000001</v>
      </c>
      <c r="O28" s="2">
        <f>M28-L28</f>
        <v>-1.1322831086234109E-2</v>
      </c>
      <c r="P28" s="2">
        <f>N28*D28-D28*F28</f>
        <v>-90.161297766403692</v>
      </c>
      <c r="Q28" s="2">
        <v>1.3099884795491199</v>
      </c>
      <c r="R28" s="2">
        <v>1.2399281577774139</v>
      </c>
      <c r="S28" s="2">
        <v>1.6503019670700001</v>
      </c>
      <c r="T28" s="2">
        <f>R28-Q28</f>
        <v>-7.0060321771705958E-2</v>
      </c>
      <c r="U28">
        <f>S28*D28-D28*F28</f>
        <v>-90.15420284219816</v>
      </c>
    </row>
    <row r="29" spans="1:21" x14ac:dyDescent="0.3">
      <c r="A29" s="1" t="s">
        <v>25</v>
      </c>
      <c r="B29">
        <v>8</v>
      </c>
      <c r="C29" s="2">
        <v>0.68872183496227424</v>
      </c>
      <c r="D29">
        <f>C29/100</f>
        <v>6.8872183496227427E-3</v>
      </c>
      <c r="E29" s="5">
        <v>2319.0352126366288</v>
      </c>
      <c r="F29" s="3">
        <v>40000</v>
      </c>
      <c r="G29" s="2">
        <v>2.0198074358477731</v>
      </c>
      <c r="H29" s="2">
        <v>2.0576759625234549</v>
      </c>
      <c r="I29" s="2">
        <v>6075.5831044372981</v>
      </c>
      <c r="J29" s="2">
        <f>H29-G29</f>
        <v>3.7868526675681746E-2</v>
      </c>
      <c r="K29" s="2">
        <f>D29*I29-D29*F29</f>
        <v>-233.64486654337122</v>
      </c>
      <c r="L29" s="2">
        <v>2.1775645782627708</v>
      </c>
      <c r="M29" s="2">
        <v>2.1611840457504852</v>
      </c>
      <c r="N29" s="2">
        <v>6506.5954083019587</v>
      </c>
      <c r="O29" s="2">
        <f>M29-L29</f>
        <v>-1.6380532512285662E-2</v>
      </c>
      <c r="P29" s="2">
        <f>N29*D29-D29*F29</f>
        <v>-230.67639069528136</v>
      </c>
      <c r="Q29" s="2">
        <v>2.3476433487405459</v>
      </c>
      <c r="R29" s="2">
        <v>2.117534516979418</v>
      </c>
      <c r="S29" s="2">
        <v>6968.1844655233544</v>
      </c>
      <c r="T29" s="2">
        <f>R29-Q29</f>
        <v>-0.23010883176112795</v>
      </c>
      <c r="U29">
        <f>S29*D29-D29*F29</f>
        <v>-227.4973260704011</v>
      </c>
    </row>
    <row r="30" spans="1:21" x14ac:dyDescent="0.3">
      <c r="A30" s="1" t="s">
        <v>17</v>
      </c>
      <c r="B30">
        <v>8</v>
      </c>
      <c r="C30" s="2">
        <v>20.187076924711974</v>
      </c>
      <c r="D30">
        <f>C30/100</f>
        <v>0.20187076924711975</v>
      </c>
      <c r="E30" s="5">
        <v>2319.0352126366288</v>
      </c>
      <c r="F30" s="3">
        <v>1200</v>
      </c>
      <c r="G30" s="2">
        <v>1.5812035868982179</v>
      </c>
      <c r="H30" s="2">
        <v>1.5370591679640031</v>
      </c>
      <c r="I30" s="2">
        <v>35.491092302399998</v>
      </c>
      <c r="J30" s="2">
        <f>H30-G30</f>
        <v>-4.4144418934214835E-2</v>
      </c>
      <c r="K30" s="2">
        <f>D30*I30-D30*F30</f>
        <v>-235.08030899203766</v>
      </c>
      <c r="L30" s="2">
        <v>1.665192722995732</v>
      </c>
      <c r="M30" s="2">
        <v>1.488540857987978</v>
      </c>
      <c r="N30" s="2">
        <v>38.517177128</v>
      </c>
      <c r="O30" s="2">
        <f>M30-L30</f>
        <v>-0.17665186500775398</v>
      </c>
      <c r="P30" s="2">
        <f>N30*D30-D30*F30</f>
        <v>-234.46943092048676</v>
      </c>
      <c r="Q30" s="2">
        <v>1.7536431283699261</v>
      </c>
      <c r="R30" s="2">
        <v>1.6967246449490161</v>
      </c>
      <c r="S30" s="2">
        <v>40.486010571100003</v>
      </c>
      <c r="T30" s="2">
        <f>R30-Q30</f>
        <v>-5.6918483420909993E-2</v>
      </c>
      <c r="U30">
        <f>S30*D30-D30*F30</f>
        <v>-234.0719809988087</v>
      </c>
    </row>
    <row r="31" spans="1:21" x14ac:dyDescent="0.3">
      <c r="A31" s="1" t="s">
        <v>18</v>
      </c>
      <c r="B31">
        <v>8</v>
      </c>
      <c r="C31" s="2">
        <v>3.261411403495202</v>
      </c>
      <c r="D31">
        <f>C31/100</f>
        <v>3.261411403495202E-2</v>
      </c>
      <c r="E31" s="5">
        <v>2319.0352126366288</v>
      </c>
      <c r="F31" s="3">
        <v>50000</v>
      </c>
      <c r="G31" s="2">
        <v>1.925128920074098</v>
      </c>
      <c r="H31" s="2">
        <v>1.90902520154245</v>
      </c>
      <c r="I31" s="2">
        <v>20448.91027231095</v>
      </c>
      <c r="J31" s="2">
        <f>H31-G31</f>
        <v>-1.6103718531647937E-2</v>
      </c>
      <c r="K31" s="2">
        <f>D31*I31-D31*F31</f>
        <v>-963.78261023594996</v>
      </c>
      <c r="L31" s="2">
        <v>1.9899603717446599</v>
      </c>
      <c r="M31" s="2">
        <v>1.9016155486958679</v>
      </c>
      <c r="N31" s="2">
        <v>21648.54424082697</v>
      </c>
      <c r="O31" s="2">
        <f>M31-L31</f>
        <v>-8.8344823048791987E-2</v>
      </c>
      <c r="P31" s="2">
        <f>N31*D31-D31*F31</f>
        <v>-924.65761118656644</v>
      </c>
      <c r="Q31" s="2">
        <v>2.056975114664906</v>
      </c>
      <c r="R31" s="2">
        <v>2.301377552889023</v>
      </c>
      <c r="S31" s="2">
        <v>22918.554656755259</v>
      </c>
      <c r="T31" s="2">
        <f>R31-Q31</f>
        <v>0.244402438224117</v>
      </c>
      <c r="U31">
        <f>S31*D31-D31*F31</f>
        <v>-883.23734665590439</v>
      </c>
    </row>
    <row r="34" spans="1:11" x14ac:dyDescent="0.3">
      <c r="A34" s="1" t="s">
        <v>0</v>
      </c>
      <c r="B34" s="2"/>
      <c r="K34" s="2">
        <f>SUM(K2:K8)</f>
        <v>10303.665779285531</v>
      </c>
    </row>
    <row r="35" spans="1:11" x14ac:dyDescent="0.3">
      <c r="A35" s="1" t="s">
        <v>11</v>
      </c>
      <c r="B35" s="2"/>
      <c r="J35" t="s">
        <v>54</v>
      </c>
      <c r="K35" s="2">
        <f>K34-E2</f>
        <v>7984.6305666489025</v>
      </c>
    </row>
    <row r="36" spans="1:11" x14ac:dyDescent="0.3">
      <c r="A36" s="1" t="s">
        <v>7</v>
      </c>
      <c r="B36" s="2"/>
      <c r="K36" t="s">
        <v>55</v>
      </c>
    </row>
    <row r="37" spans="1:11" x14ac:dyDescent="0.3">
      <c r="A37" s="1" t="s">
        <v>29</v>
      </c>
      <c r="B37" s="2"/>
    </row>
    <row r="38" spans="1:11" x14ac:dyDescent="0.3">
      <c r="A38" s="1" t="s">
        <v>8</v>
      </c>
      <c r="B38" s="2"/>
    </row>
    <row r="39" spans="1:11" x14ac:dyDescent="0.3">
      <c r="A39" s="1" t="s">
        <v>20</v>
      </c>
      <c r="B39" s="2"/>
    </row>
    <row r="40" spans="1:11" x14ac:dyDescent="0.3">
      <c r="A40" s="1" t="s">
        <v>2</v>
      </c>
      <c r="B40" s="2"/>
    </row>
    <row r="41" spans="1:11" x14ac:dyDescent="0.3">
      <c r="A41" s="1"/>
      <c r="B41" s="2"/>
    </row>
  </sheetData>
  <autoFilter ref="A1:U31" xr:uid="{6CDFB9E5-75E9-4ACE-9A91-96DB5004F2A8}">
    <sortState xmlns:xlrd2="http://schemas.microsoft.com/office/spreadsheetml/2017/richdata2" ref="A2:U31">
      <sortCondition descending="1" ref="K1:K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Kameshwar</dc:creator>
  <cp:lastModifiedBy>Kameshwar</cp:lastModifiedBy>
  <dcterms:created xsi:type="dcterms:W3CDTF">2025-12-03T16:43:54Z</dcterms:created>
  <dcterms:modified xsi:type="dcterms:W3CDTF">2025-12-03T18:24:18Z</dcterms:modified>
</cp:coreProperties>
</file>