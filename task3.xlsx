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A:\"/>
    </mc:Choice>
  </mc:AlternateContent>
  <xr:revisionPtr revIDLastSave="0" documentId="8_{4047CD21-D57F-4125-AA7E-B2558F6234D9}" xr6:coauthVersionLast="47" xr6:coauthVersionMax="47" xr10:uidLastSave="{00000000-0000-0000-0000-000000000000}"/>
  <bookViews>
    <workbookView xWindow="-108" yWindow="-108" windowWidth="23256" windowHeight="12456" xr2:uid="{DFC7CCA2-35C8-46FD-80B7-BF087DD78A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4" i="1" l="1"/>
  <c r="J57" i="1"/>
  <c r="J50" i="1"/>
  <c r="J42" i="1"/>
  <c r="J35" i="1"/>
  <c r="J28" i="1"/>
  <c r="J7" i="1"/>
  <c r="I64" i="1"/>
  <c r="H64" i="1"/>
  <c r="H57" i="1"/>
  <c r="I57" i="1"/>
  <c r="I50" i="1"/>
  <c r="H50" i="1"/>
  <c r="I42" i="1"/>
  <c r="H42" i="1"/>
  <c r="I35" i="1"/>
  <c r="H35" i="1"/>
  <c r="I28" i="1"/>
  <c r="I25" i="1"/>
  <c r="I26" i="1"/>
  <c r="I27" i="1"/>
  <c r="I31" i="1"/>
  <c r="I32" i="1"/>
  <c r="I33" i="1"/>
  <c r="I34" i="1"/>
  <c r="I38" i="1"/>
  <c r="I39" i="1"/>
  <c r="I40" i="1"/>
  <c r="I41" i="1"/>
  <c r="I46" i="1"/>
  <c r="I47" i="1"/>
  <c r="I48" i="1"/>
  <c r="I49" i="1"/>
  <c r="I53" i="1"/>
  <c r="I54" i="1"/>
  <c r="I55" i="1"/>
  <c r="I56" i="1"/>
  <c r="I60" i="1"/>
  <c r="I61" i="1"/>
  <c r="I62" i="1"/>
  <c r="I63" i="1"/>
  <c r="H46" i="1"/>
  <c r="H47" i="1"/>
  <c r="H48" i="1"/>
  <c r="H49" i="1"/>
  <c r="H53" i="1"/>
  <c r="H54" i="1"/>
  <c r="H55" i="1"/>
  <c r="H56" i="1"/>
  <c r="H60" i="1"/>
  <c r="H61" i="1"/>
  <c r="H62" i="1"/>
  <c r="H63" i="1"/>
  <c r="H38" i="1"/>
  <c r="H39" i="1"/>
  <c r="H40" i="1"/>
  <c r="H41" i="1"/>
  <c r="H32" i="1"/>
  <c r="H33" i="1"/>
  <c r="H34" i="1"/>
  <c r="H31" i="1"/>
  <c r="H28" i="1"/>
  <c r="I24" i="1"/>
  <c r="H25" i="1"/>
  <c r="H26" i="1"/>
  <c r="H27" i="1"/>
  <c r="H24" i="1"/>
  <c r="C63" i="1"/>
  <c r="C62" i="1"/>
  <c r="C61" i="1"/>
  <c r="C60" i="1"/>
  <c r="C56" i="1"/>
  <c r="C55" i="1"/>
  <c r="C54" i="1"/>
  <c r="C53" i="1"/>
  <c r="C49" i="1"/>
  <c r="C47" i="1"/>
  <c r="C48" i="1"/>
  <c r="C46" i="1"/>
  <c r="C41" i="1"/>
  <c r="C40" i="1"/>
  <c r="C39" i="1"/>
  <c r="C38" i="1"/>
  <c r="C34" i="1"/>
  <c r="C33" i="1"/>
  <c r="C32" i="1"/>
  <c r="C31" i="1"/>
  <c r="C27" i="1"/>
  <c r="C26" i="1"/>
  <c r="C25" i="1"/>
  <c r="C24" i="1"/>
  <c r="I15" i="1"/>
  <c r="H15" i="1"/>
  <c r="C18" i="1"/>
  <c r="I18" i="1" s="1"/>
  <c r="C17" i="1"/>
  <c r="I17" i="1" s="1"/>
  <c r="C16" i="1"/>
  <c r="I16" i="1" s="1"/>
  <c r="C15" i="1"/>
  <c r="C12" i="1"/>
  <c r="I12" i="1" s="1"/>
  <c r="C11" i="1"/>
  <c r="I11" i="1" s="1"/>
  <c r="C10" i="1"/>
  <c r="I10" i="1" s="1"/>
  <c r="C9" i="1"/>
  <c r="I9" i="1" s="1"/>
  <c r="I13" i="1" s="1"/>
  <c r="I7" i="1"/>
  <c r="I4" i="1"/>
  <c r="I5" i="1"/>
  <c r="I6" i="1"/>
  <c r="I3" i="1"/>
  <c r="H4" i="1"/>
  <c r="H5" i="1"/>
  <c r="H6" i="1"/>
  <c r="H3" i="1"/>
  <c r="H7" i="1" s="1"/>
  <c r="I19" i="1" l="1"/>
  <c r="H19" i="1"/>
  <c r="J19" i="1" s="1"/>
  <c r="H17" i="1"/>
  <c r="H16" i="1"/>
  <c r="H9" i="1"/>
  <c r="H18" i="1"/>
  <c r="H12" i="1"/>
  <c r="H11" i="1"/>
  <c r="H10" i="1"/>
  <c r="H13" i="1"/>
  <c r="J13" i="1" s="1"/>
</calcChain>
</file>

<file path=xl/sharedStrings.xml><?xml version="1.0" encoding="utf-8"?>
<sst xmlns="http://schemas.openxmlformats.org/spreadsheetml/2006/main" count="70" uniqueCount="38">
  <si>
    <t>Depth_km</t>
  </si>
  <si>
    <t>Li_frac</t>
  </si>
  <si>
    <t>Cu_frac</t>
  </si>
  <si>
    <t>Co_frac</t>
  </si>
  <si>
    <t>RE_frac</t>
  </si>
  <si>
    <t>Li_price</t>
  </si>
  <si>
    <t>Cu_price</t>
  </si>
  <si>
    <t>Co_price</t>
  </si>
  <si>
    <t>RE_price</t>
  </si>
  <si>
    <t>Li_ref_cost</t>
  </si>
  <si>
    <t>RE_ref_cost</t>
  </si>
  <si>
    <t>Co_ref_cost</t>
  </si>
  <si>
    <t>Cu_ref_cost</t>
  </si>
  <si>
    <t>Revenue_per_ton</t>
  </si>
  <si>
    <t>Refining_cost_per_ton</t>
  </si>
  <si>
    <t>Profit_per_ton</t>
  </si>
  <si>
    <t>location</t>
  </si>
  <si>
    <t>minerals</t>
  </si>
  <si>
    <t>Lithium</t>
  </si>
  <si>
    <t>Copper (Million Tones)</t>
  </si>
  <si>
    <t>Cobalt</t>
  </si>
  <si>
    <t>RareEarth</t>
  </si>
  <si>
    <t>composition %</t>
  </si>
  <si>
    <t>Total Extraction Cost ('000 USD/ton)</t>
  </si>
  <si>
    <t>Refining Cost (USD/Ton)</t>
  </si>
  <si>
    <t>Price_USD_per_ton</t>
  </si>
  <si>
    <t>reven ue</t>
  </si>
  <si>
    <t>refining</t>
  </si>
  <si>
    <t>total profit</t>
  </si>
  <si>
    <t>A2030</t>
  </si>
  <si>
    <t>A2035</t>
  </si>
  <si>
    <t>A2040</t>
  </si>
  <si>
    <t>B2030</t>
  </si>
  <si>
    <t>B2035</t>
  </si>
  <si>
    <t>B2040</t>
  </si>
  <si>
    <t>C2030</t>
  </si>
  <si>
    <t>C2035</t>
  </si>
  <si>
    <t>c2040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</si>
</sst>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168" fontId="0" fillId="0" borderId="0" xfId="0" applyNumberFormat="1"/>
    <xf numFmtId="0" fontId="1" fillId="0" borderId="1" xfId="0" applyFont="1" applyBorder="1" applyAlignment="1">
      <alignment horizontal="center" vertical="top"/>
    </xf>
    <xf numFmtId="3" fontId="0" fillId="0" borderId="0" xfId="0" applyNumberFormat="1" applyAlignment="1">
      <alignment vertical="center" wrapText="1"/>
    </xf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B2794-481A-4052-97F6-93F27CED8B26}">
  <dimension ref="A1:Y64"/>
  <sheetViews>
    <sheetView tabSelected="1" zoomScale="80" workbookViewId="0">
      <selection activeCell="J7" sqref="J7"/>
    </sheetView>
  </sheetViews>
  <sheetFormatPr defaultRowHeight="14.4" x14ac:dyDescent="0.3"/>
  <cols>
    <col min="1" max="3" width="17.5546875" customWidth="1"/>
    <col min="4" max="4" width="18.33203125" customWidth="1"/>
    <col min="5" max="5" width="26.33203125" customWidth="1"/>
    <col min="6" max="6" width="37.44140625" customWidth="1"/>
    <col min="7" max="7" width="21.6640625" customWidth="1"/>
    <col min="10" max="10" width="12.5546875" customWidth="1"/>
    <col min="15" max="15" width="12.44140625" customWidth="1"/>
    <col min="16" max="16" width="13.6640625" customWidth="1"/>
    <col min="17" max="17" width="13" customWidth="1"/>
    <col min="18" max="18" width="15.33203125" customWidth="1"/>
    <col min="19" max="19" width="18.6640625" customWidth="1"/>
    <col min="20" max="20" width="13.77734375" customWidth="1"/>
  </cols>
  <sheetData>
    <row r="1" spans="1:25" x14ac:dyDescent="0.3">
      <c r="A1" t="s">
        <v>16</v>
      </c>
      <c r="B1" t="s">
        <v>17</v>
      </c>
      <c r="C1" t="s">
        <v>22</v>
      </c>
      <c r="D1" t="s">
        <v>0</v>
      </c>
      <c r="E1" t="s">
        <v>24</v>
      </c>
      <c r="F1" s="3" t="s">
        <v>23</v>
      </c>
      <c r="G1" s="3" t="s">
        <v>25</v>
      </c>
      <c r="H1" s="5" t="s">
        <v>26</v>
      </c>
      <c r="I1" s="5" t="s">
        <v>27</v>
      </c>
      <c r="J1" s="5" t="s">
        <v>28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  <c r="T1" t="s">
        <v>12</v>
      </c>
      <c r="U1" t="s">
        <v>11</v>
      </c>
      <c r="V1" t="s">
        <v>10</v>
      </c>
      <c r="W1" t="s">
        <v>13</v>
      </c>
      <c r="X1" t="s">
        <v>14</v>
      </c>
      <c r="Y1" t="s">
        <v>15</v>
      </c>
    </row>
    <row r="2" spans="1:25" x14ac:dyDescent="0.3">
      <c r="A2" t="s">
        <v>29</v>
      </c>
    </row>
    <row r="3" spans="1:25" x14ac:dyDescent="0.3">
      <c r="B3" t="s">
        <v>18</v>
      </c>
      <c r="C3" s="1">
        <v>1.9599999999999999E-2</v>
      </c>
      <c r="D3">
        <v>2</v>
      </c>
      <c r="E3" s="4">
        <v>5114</v>
      </c>
      <c r="F3" s="2">
        <v>745.40386186978481</v>
      </c>
      <c r="G3" s="1">
        <v>82169.111118868605</v>
      </c>
      <c r="H3">
        <f>C3*G3</f>
        <v>1610.5145779298246</v>
      </c>
      <c r="I3">
        <f>C3*E3</f>
        <v>100.23439999999999</v>
      </c>
    </row>
    <row r="4" spans="1:25" x14ac:dyDescent="0.3">
      <c r="B4" t="s">
        <v>19</v>
      </c>
      <c r="C4" s="1">
        <v>1.9641784832006799E-2</v>
      </c>
      <c r="D4">
        <v>2</v>
      </c>
      <c r="E4" s="4">
        <v>4200</v>
      </c>
      <c r="F4" s="2">
        <v>745.40386186978481</v>
      </c>
      <c r="G4" s="1">
        <v>12128.92230938894</v>
      </c>
      <c r="H4">
        <f t="shared" ref="H4:H6" si="0">C4*G4</f>
        <v>238.23368224514456</v>
      </c>
      <c r="I4">
        <f t="shared" ref="I4:I8" si="1">C4*E4</f>
        <v>82.495496294428563</v>
      </c>
    </row>
    <row r="5" spans="1:25" x14ac:dyDescent="0.3">
      <c r="B5" t="s">
        <v>20</v>
      </c>
      <c r="C5" s="1">
        <v>1.3571685513438E-2</v>
      </c>
      <c r="D5">
        <v>2</v>
      </c>
      <c r="E5" s="4">
        <v>16717</v>
      </c>
      <c r="F5" s="2">
        <v>745.40386186978481</v>
      </c>
      <c r="G5" s="1">
        <v>53301.498598384598</v>
      </c>
      <c r="H5">
        <f t="shared" si="0"/>
        <v>723.39117637223217</v>
      </c>
      <c r="I5">
        <f t="shared" si="1"/>
        <v>226.87786672814306</v>
      </c>
    </row>
    <row r="6" spans="1:25" x14ac:dyDescent="0.3">
      <c r="B6" t="s">
        <v>21</v>
      </c>
      <c r="C6" s="1">
        <v>3.0629076472953399E-3</v>
      </c>
      <c r="D6">
        <v>2</v>
      </c>
      <c r="E6" s="4">
        <v>191508</v>
      </c>
      <c r="F6" s="2">
        <v>745.40386186978481</v>
      </c>
      <c r="G6" s="1">
        <v>188655.84174405399</v>
      </c>
      <c r="H6">
        <f t="shared" si="0"/>
        <v>577.83542038480243</v>
      </c>
      <c r="I6">
        <f t="shared" si="1"/>
        <v>586.57131771823595</v>
      </c>
    </row>
    <row r="7" spans="1:25" x14ac:dyDescent="0.3">
      <c r="H7">
        <f>SUM(H3:H6)</f>
        <v>3149.9748569320041</v>
      </c>
      <c r="I7">
        <f>SUM(I3:I6)</f>
        <v>996.17908074080754</v>
      </c>
      <c r="J7" s="2">
        <f>H7-I7-F6</f>
        <v>1408.3919143214118</v>
      </c>
    </row>
    <row r="8" spans="1:25" x14ac:dyDescent="0.3">
      <c r="A8" t="s">
        <v>30</v>
      </c>
    </row>
    <row r="9" spans="1:25" x14ac:dyDescent="0.3">
      <c r="B9" t="s">
        <v>18</v>
      </c>
      <c r="C9" s="1">
        <f>2.92/100</f>
        <v>2.92E-2</v>
      </c>
      <c r="D9">
        <v>4</v>
      </c>
      <c r="E9" s="4">
        <v>5114</v>
      </c>
      <c r="F9" s="2">
        <v>1399.19022636621</v>
      </c>
      <c r="G9" s="1">
        <v>125008.78</v>
      </c>
      <c r="H9">
        <f>G9*C9</f>
        <v>3650.2563759999998</v>
      </c>
      <c r="I9">
        <f>E9*C9</f>
        <v>149.3288</v>
      </c>
    </row>
    <row r="10" spans="1:25" x14ac:dyDescent="0.3">
      <c r="B10" t="s">
        <v>19</v>
      </c>
      <c r="C10" s="1">
        <f>4.74174478196447/100</f>
        <v>4.7417447819644701E-2</v>
      </c>
      <c r="D10">
        <v>4</v>
      </c>
      <c r="E10" s="4">
        <v>4200</v>
      </c>
      <c r="F10" s="2">
        <v>1399.190226366213</v>
      </c>
      <c r="G10" s="1">
        <v>12992.066992146871</v>
      </c>
      <c r="H10">
        <f t="shared" ref="H10:H12" si="2">G10*C10</f>
        <v>616.05065866945256</v>
      </c>
      <c r="I10">
        <f t="shared" ref="I10:I12" si="3">E10*C10</f>
        <v>199.15328084250774</v>
      </c>
    </row>
    <row r="11" spans="1:25" x14ac:dyDescent="0.3">
      <c r="B11" t="s">
        <v>20</v>
      </c>
      <c r="C11" s="1">
        <f>1.53241270093954/100</f>
        <v>1.5324127009395401E-2</v>
      </c>
      <c r="D11">
        <v>4</v>
      </c>
      <c r="E11" s="4">
        <v>16717</v>
      </c>
      <c r="F11" s="2">
        <v>1399.190226366213</v>
      </c>
      <c r="G11" s="1">
        <v>69902.104360697806</v>
      </c>
      <c r="H11">
        <f t="shared" si="2"/>
        <v>1071.1887254473452</v>
      </c>
      <c r="I11">
        <f t="shared" si="3"/>
        <v>256.17343121606291</v>
      </c>
    </row>
    <row r="12" spans="1:25" x14ac:dyDescent="0.3">
      <c r="B12" t="s">
        <v>21</v>
      </c>
      <c r="C12" s="1">
        <f>0.412595443138624/100</f>
        <v>4.1259544313862404E-3</v>
      </c>
      <c r="D12">
        <v>4</v>
      </c>
      <c r="E12" s="4">
        <v>191508</v>
      </c>
      <c r="F12" s="2">
        <v>1399.190226366213</v>
      </c>
      <c r="G12" s="1">
        <v>219030.74346234501</v>
      </c>
      <c r="H12">
        <f t="shared" si="2"/>
        <v>903.71086659828518</v>
      </c>
      <c r="I12">
        <f t="shared" si="3"/>
        <v>790.15328124591611</v>
      </c>
    </row>
    <row r="13" spans="1:25" x14ac:dyDescent="0.3">
      <c r="H13">
        <f>SUM(H9:H12)</f>
        <v>6241.2066267150822</v>
      </c>
      <c r="I13">
        <f>SUM(I9:I12)</f>
        <v>1394.8087933044867</v>
      </c>
      <c r="J13" s="2">
        <f>H13-I13-F12</f>
        <v>3447.2076070443827</v>
      </c>
    </row>
    <row r="14" spans="1:25" x14ac:dyDescent="0.3">
      <c r="A14" t="s">
        <v>31</v>
      </c>
    </row>
    <row r="15" spans="1:25" x14ac:dyDescent="0.3">
      <c r="B15" t="s">
        <v>18</v>
      </c>
      <c r="C15" s="1">
        <f>6.69/100</f>
        <v>6.6900000000000001E-2</v>
      </c>
      <c r="D15">
        <v>8</v>
      </c>
      <c r="E15" s="4">
        <v>5114</v>
      </c>
      <c r="F15" s="2">
        <v>2319.0352126366288</v>
      </c>
      <c r="G15" s="1">
        <v>156412.75940561501</v>
      </c>
      <c r="H15">
        <f>G15*C15</f>
        <v>10464.013604235644</v>
      </c>
      <c r="I15">
        <f>E15*C15</f>
        <v>342.1266</v>
      </c>
    </row>
    <row r="16" spans="1:25" x14ac:dyDescent="0.3">
      <c r="B16" t="s">
        <v>19</v>
      </c>
      <c r="C16" s="1">
        <f>4.49575056588607/100</f>
        <v>4.4957505658860697E-2</v>
      </c>
      <c r="D16">
        <v>8</v>
      </c>
      <c r="E16" s="4">
        <v>4200</v>
      </c>
      <c r="F16" s="2">
        <v>2319.0352126366288</v>
      </c>
      <c r="G16" s="1">
        <v>13916.63664938884</v>
      </c>
      <c r="H16">
        <f t="shared" ref="H16:H17" si="4">G16*C16</f>
        <v>625.65727091720692</v>
      </c>
      <c r="I16">
        <f t="shared" ref="I16:I18" si="5">E16*C16</f>
        <v>188.82152376721493</v>
      </c>
    </row>
    <row r="17" spans="1:10" x14ac:dyDescent="0.3">
      <c r="B17" t="s">
        <v>20</v>
      </c>
      <c r="C17" s="1">
        <f>1.61753498177725/100</f>
        <v>1.6175349817772501E-2</v>
      </c>
      <c r="D17">
        <v>8</v>
      </c>
      <c r="E17" s="4">
        <v>16717</v>
      </c>
      <c r="F17" s="2">
        <v>2319.0352126366288</v>
      </c>
      <c r="G17" s="1">
        <v>86612.657506675401</v>
      </c>
      <c r="H17">
        <f t="shared" si="4"/>
        <v>1400.9900338173941</v>
      </c>
      <c r="I17">
        <f t="shared" si="5"/>
        <v>270.40332290370293</v>
      </c>
    </row>
    <row r="18" spans="1:10" x14ac:dyDescent="0.3">
      <c r="B18" t="s">
        <v>21</v>
      </c>
      <c r="C18" s="1">
        <f>0.404015584708735/100</f>
        <v>4.0401558470873501E-3</v>
      </c>
      <c r="D18">
        <v>8</v>
      </c>
      <c r="E18" s="4">
        <v>191508</v>
      </c>
      <c r="F18" s="2">
        <v>2319.0352126366288</v>
      </c>
      <c r="G18" s="1">
        <v>259413.179083439</v>
      </c>
      <c r="H18">
        <f>G18*C18</f>
        <v>1048.0696722854739</v>
      </c>
      <c r="I18">
        <f t="shared" si="5"/>
        <v>773.72216596400426</v>
      </c>
    </row>
    <row r="19" spans="1:10" x14ac:dyDescent="0.3">
      <c r="H19">
        <f>SUM(H15:H18)</f>
        <v>13538.730581255719</v>
      </c>
      <c r="I19">
        <f>SUM(I15:I18)</f>
        <v>1575.073612634922</v>
      </c>
      <c r="J19" s="2">
        <f>H19-I19-F18</f>
        <v>9644.621755984168</v>
      </c>
    </row>
    <row r="23" spans="1:10" x14ac:dyDescent="0.3">
      <c r="A23" t="s">
        <v>32</v>
      </c>
    </row>
    <row r="24" spans="1:10" x14ac:dyDescent="0.3">
      <c r="B24" t="s">
        <v>18</v>
      </c>
      <c r="C24" s="1">
        <f>5.5/100</f>
        <v>5.5E-2</v>
      </c>
      <c r="D24">
        <v>6</v>
      </c>
      <c r="E24" s="4">
        <v>5114</v>
      </c>
      <c r="F24" s="2">
        <v>1253.745761496195</v>
      </c>
      <c r="G24" s="1">
        <v>82169.111118868605</v>
      </c>
      <c r="H24" s="1">
        <f>G24*C24</f>
        <v>4519.3011115377731</v>
      </c>
      <c r="I24">
        <f>E24*C24</f>
        <v>281.27</v>
      </c>
    </row>
    <row r="25" spans="1:10" x14ac:dyDescent="0.3">
      <c r="B25" t="s">
        <v>19</v>
      </c>
      <c r="C25" s="1">
        <f>2.62452741648783/100</f>
        <v>2.6245274164878301E-2</v>
      </c>
      <c r="D25">
        <v>6</v>
      </c>
      <c r="E25" s="4">
        <v>4200</v>
      </c>
      <c r="F25" s="2">
        <v>1253.745761496195</v>
      </c>
      <c r="G25" s="1">
        <v>12128.92230938894</v>
      </c>
      <c r="H25" s="1">
        <f t="shared" ref="H25:H27" si="6">G25*C25</f>
        <v>318.32689133442159</v>
      </c>
      <c r="I25">
        <f t="shared" ref="I25:I27" si="7">E25*C25</f>
        <v>110.23015149248886</v>
      </c>
    </row>
    <row r="26" spans="1:10" x14ac:dyDescent="0.3">
      <c r="B26" t="s">
        <v>20</v>
      </c>
      <c r="C26" s="1">
        <f>0.728851155879822/100</f>
        <v>7.2885115587982196E-3</v>
      </c>
      <c r="D26">
        <v>6</v>
      </c>
      <c r="E26" s="4">
        <v>16717</v>
      </c>
      <c r="F26" s="2">
        <v>1253.745761496195</v>
      </c>
      <c r="G26" s="1">
        <v>53301.498598384598</v>
      </c>
      <c r="H26" s="1">
        <f t="shared" si="6"/>
        <v>388.48858863559326</v>
      </c>
      <c r="I26">
        <f t="shared" si="7"/>
        <v>121.84204772842983</v>
      </c>
    </row>
    <row r="27" spans="1:10" x14ac:dyDescent="0.3">
      <c r="B27" t="s">
        <v>21</v>
      </c>
      <c r="C27" s="1">
        <f>0.728851155879822/100</f>
        <v>7.2885115587982196E-3</v>
      </c>
      <c r="D27">
        <v>6</v>
      </c>
      <c r="E27" s="4">
        <v>191508</v>
      </c>
      <c r="F27" s="2">
        <v>1253.745761496195</v>
      </c>
      <c r="G27" s="1">
        <v>188655.84174405399</v>
      </c>
      <c r="H27" s="1">
        <f t="shared" si="6"/>
        <v>1375.0202831863453</v>
      </c>
      <c r="I27">
        <f t="shared" si="7"/>
        <v>1395.8082716023293</v>
      </c>
    </row>
    <row r="28" spans="1:10" x14ac:dyDescent="0.3">
      <c r="H28" s="1">
        <f>SUM(H24:H27)</f>
        <v>6601.1368746941334</v>
      </c>
      <c r="I28">
        <f>SUM(I24:I27)</f>
        <v>1909.150470823248</v>
      </c>
      <c r="J28" s="1">
        <f>H28-I28-F27</f>
        <v>3438.2406423746907</v>
      </c>
    </row>
    <row r="30" spans="1:10" x14ac:dyDescent="0.3">
      <c r="A30" t="s">
        <v>33</v>
      </c>
    </row>
    <row r="31" spans="1:10" x14ac:dyDescent="0.3">
      <c r="B31" t="s">
        <v>18</v>
      </c>
      <c r="C31" s="1">
        <f>4.10556187563361/100</f>
        <v>4.10556187563361E-2</v>
      </c>
      <c r="D31">
        <v>10</v>
      </c>
      <c r="E31" s="4">
        <v>5114</v>
      </c>
      <c r="F31" s="2">
        <v>2399.7285919992801</v>
      </c>
      <c r="G31" s="1">
        <v>125008.78</v>
      </c>
      <c r="H31">
        <f>G31*C31</f>
        <v>5132.312812874693</v>
      </c>
      <c r="I31">
        <f t="shared" ref="I25:I63" si="8">E31*C31</f>
        <v>209.95843431990281</v>
      </c>
    </row>
    <row r="32" spans="1:10" x14ac:dyDescent="0.3">
      <c r="B32" t="s">
        <v>19</v>
      </c>
      <c r="C32" s="1">
        <f>1.65727362510714/100</f>
        <v>1.6572736251071401E-2</v>
      </c>
      <c r="D32">
        <v>10</v>
      </c>
      <c r="E32" s="4">
        <v>4200</v>
      </c>
      <c r="F32" s="2">
        <v>2399.7285919992801</v>
      </c>
      <c r="G32" s="1">
        <v>12992.066992146871</v>
      </c>
      <c r="H32">
        <f t="shared" ref="H32:H63" si="9">G32*C32</f>
        <v>215.31409961710062</v>
      </c>
      <c r="I32">
        <f t="shared" si="8"/>
        <v>69.605492254499879</v>
      </c>
    </row>
    <row r="33" spans="1:10" x14ac:dyDescent="0.3">
      <c r="B33" t="s">
        <v>20</v>
      </c>
      <c r="C33" s="1">
        <f>0.423218188390703/100</f>
        <v>4.2321818839070298E-3</v>
      </c>
      <c r="D33">
        <v>10</v>
      </c>
      <c r="E33" s="4">
        <v>16717</v>
      </c>
      <c r="F33" s="2">
        <v>2399.7285919992801</v>
      </c>
      <c r="G33" s="1">
        <v>69902.104360697806</v>
      </c>
      <c r="H33">
        <f t="shared" si="9"/>
        <v>295.83841972232386</v>
      </c>
      <c r="I33">
        <f t="shared" si="8"/>
        <v>70.749384553273813</v>
      </c>
    </row>
    <row r="34" spans="1:10" x14ac:dyDescent="0.3">
      <c r="B34" t="s">
        <v>21</v>
      </c>
      <c r="C34" s="1">
        <f>0.415118405924373/100</f>
        <v>4.1511840592437302E-3</v>
      </c>
      <c r="D34">
        <v>10</v>
      </c>
      <c r="E34" s="4">
        <v>191508</v>
      </c>
      <c r="F34" s="2">
        <v>2399.7285919992801</v>
      </c>
      <c r="G34" s="1">
        <v>219030.74346234501</v>
      </c>
      <c r="H34">
        <f t="shared" si="9"/>
        <v>909.23693074518951</v>
      </c>
      <c r="I34">
        <f t="shared" si="8"/>
        <v>794.98495681764825</v>
      </c>
    </row>
    <row r="35" spans="1:10" x14ac:dyDescent="0.3">
      <c r="H35">
        <f>SUM(H31:H34)</f>
        <v>6552.7022629593066</v>
      </c>
      <c r="I35">
        <f>SUM(I31:I34)</f>
        <v>1145.2982679453248</v>
      </c>
      <c r="J35" s="2">
        <f>H35-I35-F34</f>
        <v>3007.6754030147013</v>
      </c>
    </row>
    <row r="37" spans="1:10" x14ac:dyDescent="0.3">
      <c r="A37" t="s">
        <v>34</v>
      </c>
    </row>
    <row r="38" spans="1:10" x14ac:dyDescent="0.3">
      <c r="B38" t="s">
        <v>18</v>
      </c>
      <c r="C38" s="1">
        <f>5.12658443479613/100</f>
        <v>5.1265844347961304E-2</v>
      </c>
      <c r="D38">
        <v>12</v>
      </c>
      <c r="E38" s="4">
        <v>5114</v>
      </c>
      <c r="F38" s="2">
        <v>2976.3191369462461</v>
      </c>
      <c r="G38" s="1">
        <v>156412.75940561501</v>
      </c>
      <c r="H38">
        <f t="shared" si="9"/>
        <v>8018.6321777233798</v>
      </c>
      <c r="I38">
        <f t="shared" si="8"/>
        <v>262.1735279954741</v>
      </c>
    </row>
    <row r="39" spans="1:10" x14ac:dyDescent="0.3">
      <c r="B39" t="s">
        <v>19</v>
      </c>
      <c r="C39" s="1">
        <f>2.17730383622377/100</f>
        <v>2.17730383622377E-2</v>
      </c>
      <c r="D39">
        <v>12</v>
      </c>
      <c r="E39" s="4">
        <v>4200</v>
      </c>
      <c r="F39" s="2">
        <v>2976.3191369462461</v>
      </c>
      <c r="G39" s="1">
        <v>13916.63664938884</v>
      </c>
      <c r="H39">
        <f t="shared" si="9"/>
        <v>303.00746364046631</v>
      </c>
      <c r="I39">
        <f t="shared" si="8"/>
        <v>91.446761121398339</v>
      </c>
    </row>
    <row r="40" spans="1:10" x14ac:dyDescent="0.3">
      <c r="B40" t="s">
        <v>20</v>
      </c>
      <c r="C40" s="1">
        <f>0.737126386752204/100</f>
        <v>7.3712638675220397E-3</v>
      </c>
      <c r="D40">
        <v>12</v>
      </c>
      <c r="E40" s="4">
        <v>16717</v>
      </c>
      <c r="F40" s="2">
        <v>2976.3191369462461</v>
      </c>
      <c r="G40" s="1">
        <v>86612.657506675401</v>
      </c>
      <c r="H40">
        <f t="shared" si="9"/>
        <v>638.44475274901799</v>
      </c>
      <c r="I40">
        <f t="shared" si="8"/>
        <v>123.22541807336594</v>
      </c>
    </row>
    <row r="41" spans="1:10" x14ac:dyDescent="0.3">
      <c r="B41" t="s">
        <v>21</v>
      </c>
      <c r="C41" s="1">
        <f>0.335246817197942/100</f>
        <v>3.3524681719794202E-3</v>
      </c>
      <c r="D41">
        <v>12</v>
      </c>
      <c r="E41" s="4">
        <v>191508</v>
      </c>
      <c r="F41" s="2">
        <v>2976.3191369462461</v>
      </c>
      <c r="G41" s="1">
        <v>259413.179083439</v>
      </c>
      <c r="H41">
        <f t="shared" si="9"/>
        <v>869.67442626922673</v>
      </c>
      <c r="I41">
        <f t="shared" si="8"/>
        <v>642.02447467943477</v>
      </c>
    </row>
    <row r="42" spans="1:10" x14ac:dyDescent="0.3">
      <c r="H42">
        <f>SUM(H38:H41)</f>
        <v>9829.7588203820906</v>
      </c>
      <c r="I42">
        <f>SUM(I38:I41)</f>
        <v>1118.8701818696732</v>
      </c>
      <c r="J42" s="2">
        <f>H42-I42-F41</f>
        <v>5734.5695015661713</v>
      </c>
    </row>
    <row r="45" spans="1:10" x14ac:dyDescent="0.3">
      <c r="A45" t="s">
        <v>35</v>
      </c>
    </row>
    <row r="46" spans="1:10" x14ac:dyDescent="0.3">
      <c r="B46" t="s">
        <v>18</v>
      </c>
      <c r="C46" s="1">
        <f>1.5064422179621/100</f>
        <v>1.5064422179621E-2</v>
      </c>
      <c r="D46">
        <v>4</v>
      </c>
      <c r="E46" s="4">
        <v>5114</v>
      </c>
      <c r="F46" s="2">
        <v>1162.9717712719919</v>
      </c>
      <c r="G46" s="1">
        <v>82169.111118868605</v>
      </c>
      <c r="H46">
        <f t="shared" si="9"/>
        <v>1237.8301800188267</v>
      </c>
      <c r="I46">
        <f t="shared" si="8"/>
        <v>77.039455026581791</v>
      </c>
    </row>
    <row r="47" spans="1:10" x14ac:dyDescent="0.3">
      <c r="B47" t="s">
        <v>19</v>
      </c>
      <c r="C47" s="1">
        <f>7.9815822655576/100</f>
        <v>7.9815822655576005E-2</v>
      </c>
      <c r="D47">
        <v>4</v>
      </c>
      <c r="E47" s="4">
        <v>4200</v>
      </c>
      <c r="F47" s="2">
        <v>1162.9717712719919</v>
      </c>
      <c r="G47" s="1">
        <v>12128.92230938894</v>
      </c>
      <c r="H47">
        <f t="shared" si="9"/>
        <v>968.07991204944699</v>
      </c>
      <c r="I47">
        <f t="shared" si="8"/>
        <v>335.22645515341924</v>
      </c>
    </row>
    <row r="48" spans="1:10" x14ac:dyDescent="0.3">
      <c r="B48" t="s">
        <v>20</v>
      </c>
      <c r="C48" s="1">
        <f>0.598888993288119/100</f>
        <v>5.9888899328811897E-3</v>
      </c>
      <c r="D48">
        <v>4</v>
      </c>
      <c r="E48" s="4">
        <v>16717</v>
      </c>
      <c r="F48" s="2">
        <v>1162.9717712719919</v>
      </c>
      <c r="G48" s="1">
        <v>53301.498598384598</v>
      </c>
      <c r="H48">
        <f t="shared" si="9"/>
        <v>319.21680836334639</v>
      </c>
      <c r="I48">
        <f t="shared" si="8"/>
        <v>100.11627300797485</v>
      </c>
    </row>
    <row r="49" spans="1:10" x14ac:dyDescent="0.3">
      <c r="B49" t="s">
        <v>21</v>
      </c>
      <c r="C49" s="1">
        <f>0.880925962348758/100</f>
        <v>8.8092596234875791E-3</v>
      </c>
      <c r="D49">
        <v>4</v>
      </c>
      <c r="E49" s="4">
        <v>191508</v>
      </c>
      <c r="F49" s="2">
        <v>1162.9717712719919</v>
      </c>
      <c r="G49" s="1">
        <v>188655.84174405399</v>
      </c>
      <c r="H49">
        <f t="shared" si="9"/>
        <v>1661.9182894109574</v>
      </c>
      <c r="I49">
        <f t="shared" si="8"/>
        <v>1687.0436919748593</v>
      </c>
    </row>
    <row r="50" spans="1:10" x14ac:dyDescent="0.3">
      <c r="H50">
        <f>SUM(H46:H49)</f>
        <v>4187.0451898425772</v>
      </c>
      <c r="I50">
        <f>SUM(I46:I49)</f>
        <v>2199.4258751628349</v>
      </c>
      <c r="J50" s="2">
        <f>H50-I50-F49</f>
        <v>824.64754340775039</v>
      </c>
    </row>
    <row r="52" spans="1:10" x14ac:dyDescent="0.3">
      <c r="A52" t="s">
        <v>36</v>
      </c>
    </row>
    <row r="53" spans="1:10" x14ac:dyDescent="0.3">
      <c r="B53" t="s">
        <v>18</v>
      </c>
      <c r="C53" s="1">
        <f>1.5064422179621/100</f>
        <v>1.5064422179621E-2</v>
      </c>
      <c r="D53">
        <v>4</v>
      </c>
      <c r="E53" s="4">
        <v>5114</v>
      </c>
      <c r="F53" s="2">
        <v>1162.9717712719919</v>
      </c>
      <c r="G53" s="1">
        <v>125008.78</v>
      </c>
      <c r="H53">
        <f t="shared" si="9"/>
        <v>1883.1850380793619</v>
      </c>
      <c r="I53">
        <f t="shared" si="8"/>
        <v>77.039455026581791</v>
      </c>
    </row>
    <row r="54" spans="1:10" x14ac:dyDescent="0.3">
      <c r="B54" t="s">
        <v>19</v>
      </c>
      <c r="C54" s="1">
        <f>7.9815822655576/100</f>
        <v>7.9815822655576005E-2</v>
      </c>
      <c r="D54">
        <v>4</v>
      </c>
      <c r="E54" s="4">
        <v>4200</v>
      </c>
      <c r="F54" s="2">
        <v>1162.9717712719919</v>
      </c>
      <c r="G54" s="1">
        <v>12992.066992146871</v>
      </c>
      <c r="H54">
        <f t="shared" si="9"/>
        <v>1036.9725149745575</v>
      </c>
      <c r="I54">
        <f t="shared" si="8"/>
        <v>335.22645515341924</v>
      </c>
    </row>
    <row r="55" spans="1:10" x14ac:dyDescent="0.3">
      <c r="B55" t="s">
        <v>20</v>
      </c>
      <c r="C55" s="1">
        <f>0.598888993288119/100</f>
        <v>5.9888899328811897E-3</v>
      </c>
      <c r="D55">
        <v>4</v>
      </c>
      <c r="E55" s="4">
        <v>16717</v>
      </c>
      <c r="F55" s="2">
        <v>1162.9717712719919</v>
      </c>
      <c r="G55" s="1">
        <v>69902.104360697806</v>
      </c>
      <c r="H55">
        <f t="shared" si="9"/>
        <v>418.63600909299339</v>
      </c>
      <c r="I55">
        <f t="shared" si="8"/>
        <v>100.11627300797485</v>
      </c>
    </row>
    <row r="56" spans="1:10" x14ac:dyDescent="0.3">
      <c r="B56" t="s">
        <v>21</v>
      </c>
      <c r="C56" s="1">
        <f>0.880925962348758/100</f>
        <v>8.8092596234875791E-3</v>
      </c>
      <c r="D56">
        <v>4</v>
      </c>
      <c r="E56" s="4">
        <v>191508</v>
      </c>
      <c r="F56" s="2">
        <v>1162.9717712719919</v>
      </c>
      <c r="G56" s="1">
        <v>219030.74346234501</v>
      </c>
      <c r="H56">
        <f t="shared" si="9"/>
        <v>1929.4986846853019</v>
      </c>
      <c r="I56">
        <f t="shared" si="8"/>
        <v>1687.0436919748593</v>
      </c>
    </row>
    <row r="57" spans="1:10" x14ac:dyDescent="0.3">
      <c r="H57">
        <f>SUM(H53:H56)</f>
        <v>5268.2922468322149</v>
      </c>
      <c r="I57">
        <f>SUM(I53:I56)</f>
        <v>2199.4258751628349</v>
      </c>
      <c r="J57" s="2">
        <f>H57-I57-F56</f>
        <v>1905.8946003973881</v>
      </c>
    </row>
    <row r="59" spans="1:10" x14ac:dyDescent="0.3">
      <c r="A59" t="s">
        <v>37</v>
      </c>
    </row>
    <row r="60" spans="1:10" x14ac:dyDescent="0.3">
      <c r="B60" t="s">
        <v>18</v>
      </c>
      <c r="C60" s="1">
        <f>1.5064422179621/100</f>
        <v>1.5064422179621E-2</v>
      </c>
      <c r="D60">
        <v>4</v>
      </c>
      <c r="E60" s="4">
        <v>5114</v>
      </c>
      <c r="F60" s="2">
        <v>1162.9717712719919</v>
      </c>
      <c r="G60" s="1">
        <v>156412.75940561501</v>
      </c>
      <c r="H60">
        <f t="shared" si="9"/>
        <v>2356.26784196567</v>
      </c>
      <c r="I60">
        <f t="shared" si="8"/>
        <v>77.039455026581791</v>
      </c>
    </row>
    <row r="61" spans="1:10" x14ac:dyDescent="0.3">
      <c r="B61" t="s">
        <v>19</v>
      </c>
      <c r="C61" s="1">
        <f>7.9815822655576/100</f>
        <v>7.9815822655576005E-2</v>
      </c>
      <c r="D61">
        <v>4</v>
      </c>
      <c r="E61" s="4">
        <v>4200</v>
      </c>
      <c r="F61" s="2">
        <v>1162.9717712719919</v>
      </c>
      <c r="G61" s="1">
        <v>13916.63664938884</v>
      </c>
      <c r="H61">
        <f t="shared" si="9"/>
        <v>1110.7678027697091</v>
      </c>
      <c r="I61">
        <f t="shared" si="8"/>
        <v>335.22645515341924</v>
      </c>
    </row>
    <row r="62" spans="1:10" x14ac:dyDescent="0.3">
      <c r="B62" t="s">
        <v>20</v>
      </c>
      <c r="C62" s="1">
        <f>0.598888993288119/100</f>
        <v>5.9888899328811897E-3</v>
      </c>
      <c r="D62">
        <v>4</v>
      </c>
      <c r="E62" s="4">
        <v>16717</v>
      </c>
      <c r="F62" s="2">
        <v>1162.9717712719919</v>
      </c>
      <c r="G62" s="1">
        <v>86612.657506675401</v>
      </c>
      <c r="H62">
        <f t="shared" si="9"/>
        <v>518.71367260181466</v>
      </c>
      <c r="I62">
        <f t="shared" si="8"/>
        <v>100.11627300797485</v>
      </c>
    </row>
    <row r="63" spans="1:10" x14ac:dyDescent="0.3">
      <c r="B63" t="s">
        <v>21</v>
      </c>
      <c r="C63" s="1">
        <f>0.880925962348758/100</f>
        <v>8.8092596234875791E-3</v>
      </c>
      <c r="D63">
        <v>4</v>
      </c>
      <c r="E63" s="4">
        <v>191508</v>
      </c>
      <c r="F63" s="2">
        <v>1162.9717712719919</v>
      </c>
      <c r="G63" s="1">
        <v>259413.179083439</v>
      </c>
      <c r="H63">
        <f t="shared" si="9"/>
        <v>2285.2380443002917</v>
      </c>
      <c r="I63">
        <f t="shared" si="8"/>
        <v>1687.0436919748593</v>
      </c>
    </row>
    <row r="64" spans="1:10" x14ac:dyDescent="0.3">
      <c r="H64">
        <f>SUM(H60:H63)</f>
        <v>6270.9873616374853</v>
      </c>
      <c r="I64">
        <f>SUM(I60:I63)</f>
        <v>2199.4258751628349</v>
      </c>
      <c r="J64" s="2">
        <f>H64-I64-F63</f>
        <v>2908.5897152026582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Kameshwar</dc:creator>
  <cp:lastModifiedBy>Kameshwar</cp:lastModifiedBy>
  <dcterms:created xsi:type="dcterms:W3CDTF">2025-12-03T12:57:50Z</dcterms:created>
  <dcterms:modified xsi:type="dcterms:W3CDTF">2025-12-03T18:24:41Z</dcterms:modified>
</cp:coreProperties>
</file>